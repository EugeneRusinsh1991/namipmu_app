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BFF25DFE-0CAD-4675-A043-C117DD4F7F64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  <sheet name="equipment" sheetId="10" r:id="rId7"/>
    <sheet name="cartriges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0" l="1"/>
  <c r="O8" i="10"/>
  <c r="N8" i="10"/>
  <c r="M8" i="10"/>
  <c r="L8" i="10"/>
  <c r="K8" i="10"/>
  <c r="H8" i="10"/>
  <c r="G8" i="10"/>
  <c r="D8" i="10"/>
  <c r="C8" i="10"/>
  <c r="P27" i="12"/>
  <c r="O27" i="12"/>
  <c r="N27" i="12"/>
  <c r="M27" i="12"/>
  <c r="L27" i="12"/>
  <c r="K27" i="12"/>
  <c r="J27" i="12"/>
  <c r="I27" i="12"/>
  <c r="H27" i="12"/>
  <c r="G27" i="12"/>
  <c r="F27" i="12"/>
  <c r="E27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P43" i="7"/>
  <c r="O43" i="7"/>
  <c r="N43" i="7"/>
  <c r="M43" i="7"/>
  <c r="L43" i="7"/>
  <c r="D43" i="7"/>
  <c r="C43" i="7"/>
  <c r="P9" i="5"/>
  <c r="O9" i="5"/>
  <c r="N9" i="5"/>
  <c r="M9" i="5"/>
  <c r="L9" i="5"/>
  <c r="D9" i="5"/>
  <c r="C9" i="5"/>
  <c r="P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P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P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P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P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P89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P77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P76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P75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P70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P9" i="12"/>
  <c r="O9" i="12"/>
  <c r="N9" i="12"/>
  <c r="M9" i="12"/>
  <c r="L9" i="12"/>
  <c r="K9" i="12"/>
  <c r="J9" i="12"/>
  <c r="I9" i="12"/>
  <c r="H9" i="12"/>
  <c r="G9" i="12"/>
  <c r="F9" i="12"/>
  <c r="E9" i="12"/>
  <c r="P8" i="12"/>
  <c r="O8" i="12"/>
  <c r="N8" i="12"/>
  <c r="M8" i="12"/>
  <c r="L8" i="12"/>
  <c r="K8" i="12"/>
  <c r="J8" i="12"/>
  <c r="I8" i="12"/>
  <c r="H8" i="12"/>
  <c r="G8" i="12"/>
  <c r="F8" i="12"/>
  <c r="E8" i="12"/>
  <c r="P7" i="12"/>
  <c r="O7" i="12"/>
  <c r="N7" i="12"/>
  <c r="M7" i="12"/>
  <c r="L7" i="12"/>
  <c r="K7" i="12"/>
  <c r="J7" i="12"/>
  <c r="I7" i="12"/>
  <c r="H7" i="12"/>
  <c r="G7" i="12"/>
  <c r="F7" i="12"/>
  <c r="E7" i="12"/>
  <c r="P6" i="12"/>
  <c r="O6" i="12"/>
  <c r="N6" i="12"/>
  <c r="M6" i="12"/>
  <c r="L6" i="12"/>
  <c r="K6" i="12"/>
  <c r="J6" i="12"/>
  <c r="I6" i="12"/>
  <c r="H6" i="12"/>
  <c r="G6" i="12"/>
  <c r="F6" i="12"/>
  <c r="E6" i="12"/>
  <c r="P5" i="12"/>
  <c r="O5" i="12"/>
  <c r="N5" i="12"/>
  <c r="M5" i="12"/>
  <c r="L5" i="12"/>
  <c r="K5" i="12"/>
  <c r="J5" i="12"/>
  <c r="I5" i="12"/>
  <c r="H5" i="12"/>
  <c r="G5" i="12"/>
  <c r="F5" i="12"/>
  <c r="E5" i="12"/>
  <c r="P3" i="12"/>
  <c r="O3" i="12"/>
  <c r="N3" i="12"/>
  <c r="M3" i="12"/>
  <c r="L3" i="12"/>
  <c r="K3" i="12"/>
  <c r="J3" i="12"/>
  <c r="I3" i="12"/>
  <c r="H3" i="12"/>
  <c r="G3" i="12"/>
  <c r="F3" i="12"/>
  <c r="E3" i="12"/>
  <c r="P2" i="12"/>
  <c r="O2" i="12"/>
  <c r="N2" i="12"/>
  <c r="M2" i="12"/>
  <c r="L2" i="12"/>
  <c r="K2" i="12"/>
  <c r="J2" i="12"/>
  <c r="I2" i="12"/>
  <c r="H2" i="12"/>
  <c r="G2" i="12"/>
  <c r="P44" i="7"/>
  <c r="O44" i="7"/>
  <c r="N44" i="7"/>
  <c r="M44" i="7"/>
  <c r="L44" i="7"/>
  <c r="D44" i="7"/>
  <c r="C44" i="7"/>
  <c r="C2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P17" i="10"/>
  <c r="O17" i="10"/>
  <c r="N17" i="10"/>
  <c r="M17" i="10"/>
  <c r="L17" i="10"/>
  <c r="K17" i="10"/>
  <c r="H17" i="10"/>
  <c r="G17" i="10"/>
  <c r="D17" i="10"/>
  <c r="C17" i="10"/>
  <c r="P16" i="10"/>
  <c r="O16" i="10"/>
  <c r="N16" i="10"/>
  <c r="M16" i="10"/>
  <c r="L16" i="10"/>
  <c r="K16" i="10"/>
  <c r="H16" i="10"/>
  <c r="G16" i="10"/>
  <c r="F16" i="10"/>
  <c r="E16" i="10"/>
  <c r="P15" i="10"/>
  <c r="O15" i="10"/>
  <c r="N15" i="10"/>
  <c r="M15" i="10"/>
  <c r="L15" i="10"/>
  <c r="K15" i="10"/>
  <c r="H15" i="10"/>
  <c r="G15" i="10"/>
  <c r="F15" i="10"/>
  <c r="E15" i="10"/>
  <c r="P14" i="10"/>
  <c r="O14" i="10"/>
  <c r="N14" i="10"/>
  <c r="M14" i="10"/>
  <c r="L14" i="10"/>
  <c r="K14" i="10"/>
  <c r="H14" i="10"/>
  <c r="G14" i="10"/>
  <c r="F14" i="10"/>
  <c r="E14" i="10"/>
  <c r="P13" i="10"/>
  <c r="O13" i="10"/>
  <c r="N13" i="10"/>
  <c r="M13" i="10"/>
  <c r="L13" i="10"/>
  <c r="K13" i="10"/>
  <c r="H13" i="10"/>
  <c r="G13" i="10"/>
  <c r="F13" i="10"/>
  <c r="E13" i="10"/>
  <c r="P12" i="10"/>
  <c r="O12" i="10"/>
  <c r="N12" i="10"/>
  <c r="M12" i="10"/>
  <c r="L12" i="10"/>
  <c r="K12" i="10"/>
  <c r="H12" i="10"/>
  <c r="G12" i="10"/>
  <c r="F12" i="10"/>
  <c r="E12" i="10"/>
  <c r="P11" i="10"/>
  <c r="O11" i="10"/>
  <c r="N11" i="10"/>
  <c r="M11" i="10"/>
  <c r="L11" i="10"/>
  <c r="K11" i="10"/>
  <c r="H11" i="10"/>
  <c r="G11" i="10"/>
  <c r="F11" i="10"/>
  <c r="E11" i="10"/>
  <c r="P10" i="10"/>
  <c r="O10" i="10"/>
  <c r="N10" i="10"/>
  <c r="M10" i="10"/>
  <c r="L10" i="10"/>
  <c r="K10" i="10"/>
  <c r="H10" i="10"/>
  <c r="G10" i="10"/>
  <c r="F10" i="10"/>
  <c r="E10" i="10"/>
  <c r="P9" i="10"/>
  <c r="O9" i="10"/>
  <c r="N9" i="10"/>
  <c r="M9" i="10"/>
  <c r="L9" i="10"/>
  <c r="K9" i="10"/>
  <c r="J9" i="10"/>
  <c r="I9" i="10"/>
  <c r="H9" i="10"/>
  <c r="G9" i="10"/>
  <c r="F9" i="10"/>
  <c r="E9" i="10"/>
  <c r="P7" i="10"/>
  <c r="O7" i="10"/>
  <c r="N7" i="10"/>
  <c r="M7" i="10"/>
  <c r="L7" i="10"/>
  <c r="K7" i="10"/>
  <c r="H7" i="10"/>
  <c r="G7" i="10"/>
  <c r="F7" i="10"/>
  <c r="E7" i="10"/>
  <c r="P6" i="10"/>
  <c r="O6" i="10"/>
  <c r="N6" i="10"/>
  <c r="M6" i="10"/>
  <c r="L6" i="10"/>
  <c r="K6" i="10"/>
  <c r="H6" i="10"/>
  <c r="G6" i="10"/>
  <c r="F6" i="10"/>
  <c r="E6" i="10"/>
  <c r="P5" i="10"/>
  <c r="O5" i="10"/>
  <c r="N5" i="10"/>
  <c r="M5" i="10"/>
  <c r="L5" i="10"/>
  <c r="K5" i="10"/>
  <c r="J5" i="10"/>
  <c r="I5" i="10"/>
  <c r="H5" i="10"/>
  <c r="G5" i="10"/>
  <c r="F5" i="10"/>
  <c r="E5" i="10"/>
  <c r="P3" i="10"/>
  <c r="O3" i="10"/>
  <c r="N3" i="10"/>
  <c r="M3" i="10"/>
  <c r="L3" i="10"/>
  <c r="K3" i="10"/>
  <c r="J3" i="10"/>
  <c r="I3" i="10"/>
  <c r="H3" i="10"/>
  <c r="G3" i="10"/>
  <c r="F3" i="10"/>
  <c r="E3" i="10"/>
  <c r="P2" i="10"/>
  <c r="O2" i="10"/>
  <c r="N2" i="10"/>
  <c r="M2" i="10"/>
  <c r="L2" i="10"/>
  <c r="K2" i="10"/>
  <c r="H2" i="10"/>
  <c r="G2" i="10"/>
  <c r="D2" i="10"/>
  <c r="E10" i="2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D8" i="5"/>
  <c r="C8" i="5"/>
  <c r="D7" i="5"/>
  <c r="C7" i="5"/>
  <c r="D6" i="5"/>
  <c r="C6" i="5"/>
  <c r="K5" i="5"/>
  <c r="J5" i="5"/>
  <c r="I5" i="5"/>
  <c r="H5" i="5"/>
  <c r="G5" i="5"/>
  <c r="F5" i="5"/>
  <c r="C5" i="5"/>
  <c r="K4" i="5"/>
  <c r="J4" i="5"/>
  <c r="I4" i="5"/>
  <c r="H4" i="5"/>
  <c r="G4" i="5"/>
  <c r="F4" i="5"/>
  <c r="C4" i="5"/>
  <c r="K3" i="5"/>
  <c r="J3" i="5"/>
  <c r="I3" i="5"/>
  <c r="H3" i="5"/>
  <c r="G3" i="5"/>
  <c r="F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<sst xmlns="http://schemas.openxmlformats.org/spreadsheetml/2006/main" count="2824" uniqueCount="216">
  <si>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</si>
  <si>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</si>
  <si>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</si>
  <si>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</si>
  <si>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</si>
  <si>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</si>
  <si>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</si>
  <si>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</si>
  <si>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</si>
  <si>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</si>
  <si>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</si>
  <si>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</si>
  <si>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</si>
  <si>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</si>
  <si>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</si>
  <si>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</si>
  <si>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</si>
  <si>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</si>
  <si>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</si>
  <si>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</si>
  <si>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</si>
  <si>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</si>
  <si>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</si>
  <si>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</si>
  <si>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</si>
  <si>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</si>
  <si>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</si>
  <si>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</si>
  <si>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</si>
  <si>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</si>
  <si>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</si>
  <si>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</si>
  <si>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</si>
  <si>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</si>
  <si>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</si>
  <si>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</si>
  <si>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</si>
  <si>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</si>
  <si>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</si>
  <si>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</si>
  <si>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</si>
  <si>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</si>
  <si>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</si>
  <si>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</si>
  <si>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</si>
  <si>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</si>
  <si>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</si>
  <si>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</si>
  <si>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</si>
  <si>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</si>
  <si>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</si>
  <si>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</si>
  <si>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</si>
  <si>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</si>
  <si>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</si>
  <si>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</si>
  <si>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</si>
  <si>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</si>
  <si>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</si>
  <si>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</si>
  <si>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</si>
  <si>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</si>
  <si>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</si>
  <si>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</si>
  <si>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</si>
  <si>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</si>
  <si>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</si>
  <si>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</si>
  <si>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</si>
  <si>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</si>
  <si>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</si>
  <si>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</si>
  <si>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</si>
  <si>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</si>
  <si>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</si>
  <si>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</si>
  <si>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</si>
  <si>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</si>
  <si>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</si>
  <si>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</si>
  <si>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</si>
  <si>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</si>
  <si>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</si>
  <si>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</si>
  <si>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</si>
  <si>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</si>
  <si>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</si>
  <si>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</si>
  <si>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</si>
  <si>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</si>
  <si>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</si>
  <si>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</si>
  <si>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</si>
  <si>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</si>
  <si>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</si>
  <si>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</si>
  <si>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</si>
  <si>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</si>
  <si>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</si>
  <si>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</si>
  <si>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</si>
  <si>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</si>
  <si>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</si>
  <si>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</si>
  <si>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</si>
  <si>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</si>
  <si>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</si>
  <si>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</si>
  <si>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</si>
  <si>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</si>
  <si>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</si>
  <si>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</si>
  <si>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</si>
  <si>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</si>
  <si>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</si>
  <si>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</si>
  <si>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</si>
  <si>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</si>
  <si>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</si>
  <si>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</si>
  <si>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</si>
  <si>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</si>
  <si>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</si>
  <si>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</si>
  <si>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</si>
  <si>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</si>
  <si>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</si>
  <si>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</si>
  <si>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</si>
  <si>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</si>
  <si>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</si>
  <si>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</si>
  <si>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</si>
  <si>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</si>
  <si>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</si>
  <si>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</si>
  <si>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</si>
  <si>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</si>
  <si>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</si>
  <si>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</si>
  <si>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</si>
  <si>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</si>
  <si>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</si>
  <si>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</si>
  <si>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</si>
  <si>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</si>
  <si>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</si>
  <si>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</si>
  <si>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</si>
  <si>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</si>
  <si>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</si>
  <si>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</si>
  <si>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</si>
  <si>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</si>
  <si>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</si>
  <si>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</si>
  <si>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</si>
  <si>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</si>
  <si>
    <t>Тогда частицы начинают мигрировать в стороны, и появляется:</t>
  </si>
  <si>
    <t>расплытие,</t>
  </si>
  <si>
    <t>серость,</t>
  </si>
  <si>
    <t>холодный оттенок,</t>
  </si>
  <si>
    <t>эффект «татуажа».</t>
  </si>
  <si>
    <t>Оборудование для ПМ</t>
  </si>
  <si>
    <t>Машинки в тату индустрии делятся на два вида:</t>
  </si>
  <si>
    <t>Индукционные — движение иглы обеспечивается за счет электромагнитной индукции, дают резкий и четкий удар и высокую скорость за счет этого проникновение пигмента может быть более глубокое. В современном перманентные не используются.</t>
  </si>
  <si>
    <t>Роторные — игла приводится в движение с помощью небольшого моторчика. Работают достаточно тихо и плавно что дает возможность прорисовать даже самые мелкие детали. Самые распространенные аппараты в сфере ПМ.</t>
  </si>
  <si>
    <t>/equipment</t>
  </si>
  <si>
    <t xml:space="preserve">Роторные аппараты стостоят из: </t>
  </si>
  <si>
    <t>Электродвигатель (мотор) - приводит всю систему в движение. Обеспечивает мощность и стабильность ударов.</t>
  </si>
  <si>
    <t>Эксцентрик (кулачковый механизм) - деталь, надетая на вал мотора. Она отвечает за трансформацию вращения в поступательные движения (вверх-вниз) и определяет ход иглы (длину вылета).</t>
  </si>
  <si>
    <t>Толкатель (боёк или шток) -  жесткий стержень, который передает импульс от эксцентрика к игле или картриджу.</t>
  </si>
  <si>
    <t>Корпус - эргономичная ручка-манипула, внутри которой скрыт механизм. В современных аппаратах чаще всего изготавливается из легкого авиационного алюминия или медицинской стали и имеет систему виброгашения.</t>
  </si>
  <si>
    <t>Разъем питания / аккумулятор - в проводных моделях это порт RCA или клип-корд для подключения к блоку питания. В беспроводных аппаратах в этой части корпуса располагаются батарея и кнопки управления.</t>
  </si>
  <si>
    <t>Регулятор вылета иглы - воворотный механизм на корпусе, позволяющий изменять длину выступа иглы (обычно от 0 до 5 мм).</t>
  </si>
  <si>
    <t>Держатель -  съемная (часто автоклавируемая) часть, за которую мастер держит аппарат во время процедуры</t>
  </si>
  <si>
    <t>ТУТ ПИШЕМ БУЛИТ</t>
  </si>
  <si>
    <t>ТУТ ПИШЕМО БУЛІТ</t>
  </si>
  <si>
    <t>следующий урок</t>
  </si>
  <si>
    <t>Помимо того что роторные аппараты делятся по типам питания, так же их разделяют по на три вида в зависимости от хода иглы.</t>
  </si>
  <si>
    <r>
      <t>Картриджи</t>
    </r>
    <r>
      <rPr>
        <b/>
        <sz val="11"/>
        <color rgb="FF000000"/>
        <rFont val="Arial"/>
        <family val="2"/>
      </rPr>
      <t> </t>
    </r>
  </si>
  <si>
    <t>Все современные аппараты являются модульными машинками. Название пошло именно от вида иглы которую можно использовать. Модуль ( он же картридж) — это игла или несколько спаянных между собой игл, размещенные в пластиковый корпус.Такие картриджи обеспечивают полную стерильность как для клиента так и для мастера и оборудования. Модули отличаются между собой не только фирмой производителя но и  по:</t>
  </si>
  <si>
    <t>Диаметр </t>
  </si>
  <si>
    <t>Количеству игл в спайке</t>
  </si>
  <si>
    <t>Конфигурации  </t>
  </si>
  <si>
    <t>Заточке</t>
  </si>
  <si>
    <t>/cartriges</t>
  </si>
  <si>
    <r>
      <t>Картриджи</t>
    </r>
    <r>
      <rPr>
        <b/>
        <sz val="11"/>
        <color rgb="FF000000"/>
        <rFont val="Arial"/>
        <family val="2"/>
      </rPr>
      <t xml:space="preserve"> </t>
    </r>
  </si>
  <si>
    <t>НАЗВАНИЕ КУРСА</t>
  </si>
  <si>
    <t>НАЗВА КУРСУ</t>
  </si>
  <si>
    <t>ПІДЗАГОЛОВОК</t>
  </si>
  <si>
    <t>ПОДЗАГОЛОВОК</t>
  </si>
  <si>
    <t>текст</t>
  </si>
  <si>
    <t>текс</t>
  </si>
  <si>
    <t>вернуться назад</t>
  </si>
  <si>
    <t>/</t>
  </si>
  <si>
    <t>Диаметр отвечает за размер пикселя: чем больше диаметр иглы, тем крупнее получается пиксель; стандартные обозначения — 0,25; 0,30; 0,35.</t>
  </si>
  <si>
    <t>Количество игл — цифры после диаметра обозначают количество игл одного диаметра в спайке; стандартные обозначения: 01, 03, 05.</t>
  </si>
  <si>
    <t>Конфигурация </t>
  </si>
  <si>
    <t>Конфигурация — это тип спайки игл в картридже, от которой зависит, какой рисунок из пикселей будет оставлять модуль; основные типы конфигурации для перманента.</t>
  </si>
  <si>
    <t>RL (round liner) - иглы плотно спаяны в пучок на самом конце. Для четких контуров или прокраса на тонкой, фарфоровой или возрастной коже.</t>
  </si>
  <si>
    <t>RS (round shader) - иглы спаяны параллельно друг другу пучок более широкий, пиксель более рассыпчатый. Так же можно использовать в работе с прокрасом на тонкой и возрастной коже.</t>
  </si>
  <si>
    <t>M (magnum) - иглы спаянные в ряд имеют прямой, плоский срез. Все иглы в спайке одинаковой длины. Не используются в ПМ.</t>
  </si>
  <si>
    <t>RM (round magnum) - спайка игл в форме полумесяца.</t>
  </si>
  <si>
    <t>Заточка</t>
  </si>
  <si>
    <t>LT (long taper) - самая длинная и острая заточка. Прокол маленького диаметра отлично подходит для фиксации эскиза.</t>
  </si>
  <si>
    <t>MT ( medium taper) - заточка средней длинны, самая универсальная подходит как для фиксации эскиза так и для прокраса на любой зоне перманента.</t>
  </si>
  <si>
    <t xml:space="preserve">ST ( short taper) - самая короткая и «тупая» заточка. </t>
  </si>
  <si>
    <t>Конусность — это длина острой части иглы, которую делят на несколько типов.</t>
  </si>
  <si>
    <t>Дополнением к данным заточкам существуют текстурированные иглы, обозначаются на маркировке дополнительной приставкой “T” ( например 3001 RLLT-T ). Такие иглы имеют рельефное покрытие, за счет своей структуры берут на себя больше пигмента в результате чего в коже так же остается больше пигмента. Стоит учесть текстурированные иглы не подойдут на чувстельную и тонкую кожу, так как являются более травматичными.</t>
  </si>
  <si>
    <t>equipment1_rus</t>
  </si>
  <si>
    <t>gif</t>
  </si>
  <si>
    <t>images/animation_ru.gif</t>
  </si>
  <si>
    <t>images/animation_ua.gif</t>
  </si>
  <si>
    <t>16:9</t>
  </si>
  <si>
    <t>skin_types_rus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</si>
</sst>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86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5"/>
  <sheetViews>
    <sheetView workbookViewId="0">
      <selection activeCell="A16" sqref="A16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34</v>
      </c>
    </row>
    <row r="8" spans="1:1">
      <c r="A8" t="s">
        <v>42</v>
      </c>
    </row>
    <row r="9" spans="1:1">
      <c r="A9" t="s">
        <v>49</v>
      </c>
    </row>
    <row r="10" spans="1:1">
      <c r="A10" t="s">
        <v>56</v>
      </c>
    </row>
    <row r="11" spans="1:1">
      <c r="A11" t="s">
        <v>63</v>
      </c>
    </row>
    <row r="12" spans="1:1">
      <c r="A12" t="s">
        <v>66</v>
      </c>
    </row>
    <row r="13" spans="1:1">
      <c r="A13" t="s">
        <v>69</v>
      </c>
    </row>
    <row r="14" spans="1:1">
      <c r="A14" t="s">
        <v>73</v>
      </c>
    </row>
    <row r="15" spans="1:1">
      <c r="A15" t="s">
        <v>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tabSelected="1" zoomScale="115" zoomScaleNormal="115" workbookViewId="0">
      <selection activeCell="B32" sqref="B32"/>
    </sheetView>
  </sheetViews>
  <sheetFormatPr defaultColWidth="40" defaultRowHeight="14.25"/>
  <sheetData>
    <row r="1" spans="1:17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7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7">
      <c r="B3" t="s">
        <v>19</v>
      </c>
      <c r="C3" t="s">
        <v>20</v>
      </c>
      <c r="D3" t="s">
        <v>20</v>
      </c>
    </row>
    <row r="4" spans="1:17">
      <c r="B4" t="s">
        <v>21</v>
      </c>
      <c r="C4" t="s">
        <v>22</v>
      </c>
      <c r="D4" t="s">
        <v>23</v>
      </c>
    </row>
    <row r="5" spans="1:17">
      <c r="B5" t="s">
        <v>24</v>
      </c>
      <c r="C5" t="s">
        <v>25</v>
      </c>
      <c r="D5" t="s">
        <v>26</v>
      </c>
    </row>
    <row r="6" spans="1:17">
      <c r="B6" t="s">
        <v>27</v>
      </c>
      <c r="C6" t="s">
        <v>28</v>
      </c>
      <c r="D6" t="s">
        <v>29</v>
      </c>
    </row>
    <row r="7" spans="1:17">
      <c r="B7" t="s">
        <v>30</v>
      </c>
      <c r="E7" t="s">
        <v>31</v>
      </c>
      <c r="F7" t="s">
        <v>32</v>
      </c>
      <c r="L7">
        <v>300</v>
      </c>
      <c r="M7">
        <v>300</v>
      </c>
      <c r="N7">
        <v>1</v>
      </c>
      <c r="O7" t="s">
        <v>33</v>
      </c>
    </row>
    <row r="8" spans="1:17">
      <c r="B8" t="s">
        <v>34</v>
      </c>
      <c r="E8" t="s">
        <v>35</v>
      </c>
      <c r="F8" t="s">
        <v>36</v>
      </c>
      <c r="G8" t="s">
        <v>37</v>
      </c>
      <c r="H8" t="s">
        <v>38</v>
      </c>
      <c r="I8" t="s">
        <v>39</v>
      </c>
      <c r="J8" t="s">
        <v>40</v>
      </c>
      <c r="K8" t="s">
        <v>41</v>
      </c>
    </row>
    <row r="9" spans="1:17">
      <c r="B9" t="s">
        <v>42</v>
      </c>
      <c r="E9" t="s">
        <v>43</v>
      </c>
      <c r="F9" t="s">
        <v>43</v>
      </c>
      <c r="G9" t="s">
        <v>44</v>
      </c>
      <c r="H9" t="s">
        <v>45</v>
      </c>
      <c r="I9" t="s">
        <v>46</v>
      </c>
      <c r="J9" t="s">
        <v>47</v>
      </c>
      <c r="K9" t="s">
        <v>48</v>
      </c>
    </row>
    <row r="10" spans="1:17">
      <c r="B10" t="s">
        <v>49</v>
      </c>
      <c r="E10" t="s">
        <v>50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</row>
    <row r="11" spans="1:17">
      <c r="B11" t="s">
        <v>56</v>
      </c>
      <c r="E11" t="s">
        <v>57</v>
      </c>
      <c r="F11" t="s">
        <v>57</v>
      </c>
      <c r="G11" t="s">
        <v>58</v>
      </c>
      <c r="H11" t="s">
        <v>59</v>
      </c>
      <c r="I11" t="s">
        <v>60</v>
      </c>
      <c r="J11" t="s">
        <v>61</v>
      </c>
      <c r="K11" t="s">
        <v>62</v>
      </c>
    </row>
    <row r="12" spans="1:17">
      <c r="B12" t="s">
        <v>63</v>
      </c>
      <c r="I12" t="s">
        <v>64</v>
      </c>
      <c r="J12" t="s">
        <v>65</v>
      </c>
    </row>
    <row r="13" spans="1:17">
      <c r="B13" t="s">
        <v>66</v>
      </c>
      <c r="C13" t="s">
        <v>176</v>
      </c>
      <c r="D13" t="s">
        <v>177</v>
      </c>
    </row>
    <row r="14" spans="1:17">
      <c r="B14" t="s">
        <v>69</v>
      </c>
      <c r="C14" t="s">
        <v>70</v>
      </c>
      <c r="D14" t="s">
        <v>71</v>
      </c>
      <c r="K14" t="s">
        <v>72</v>
      </c>
    </row>
    <row r="15" spans="1:17">
      <c r="B15" t="s">
        <v>73</v>
      </c>
      <c r="E15" t="s">
        <v>74</v>
      </c>
      <c r="F15" t="s">
        <v>74</v>
      </c>
      <c r="I15" t="s">
        <v>75</v>
      </c>
      <c r="J15" t="s">
        <v>76</v>
      </c>
    </row>
    <row r="16" spans="1:17">
      <c r="B16" t="s">
        <v>211</v>
      </c>
      <c r="C16" t="s">
        <v>121</v>
      </c>
      <c r="D16" t="s">
        <v>121</v>
      </c>
      <c r="E16" t="s">
        <v>212</v>
      </c>
      <c r="F16" t="s">
        <v>213</v>
      </c>
      <c r="G16" t="s">
        <v>121</v>
      </c>
      <c r="H16" t="s">
        <v>121</v>
      </c>
      <c r="I16" t="s">
        <v>121</v>
      </c>
      <c r="J16" t="s">
        <v>121</v>
      </c>
      <c r="K16" t="s">
        <v>121</v>
      </c>
      <c r="L16">
        <v>400</v>
      </c>
      <c r="M16">
        <v>225</v>
      </c>
      <c r="N16" t="s">
        <v>214</v>
      </c>
      <c r="O16" t="s">
        <v>33</v>
      </c>
      <c r="P16" t="s">
        <v>121</v>
      </c>
      <c r="Q16" t="s">
        <v>121</v>
      </c>
    </row>
  </sheetData>
  <conditionalFormatting sqref="B1">
    <cfRule type="containsText" dxfId="85" priority="1" operator="containsText" text="image">
      <formula>NOT(ISERROR(SEARCH("image",B1)))</formula>
    </cfRule>
    <cfRule type="containsText" dxfId="84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C2" sqref="C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83" priority="1">
      <formula>ISNUMBER(SEARCH("text",$B2))</formula>
    </cfRule>
    <cfRule type="expression" dxfId="82" priority="2">
      <formula>ISNUMBER(SEARCH("title",$B2))</formula>
    </cfRule>
    <cfRule type="expression" dxfId="81" priority="3">
      <formula>ISNUMBER(SEARCH("hero",$B2))</formula>
    </cfRule>
    <cfRule type="expression" dxfId="80" priority="4">
      <formula>ISNUMBER(SEARCH("card",$B2))</formula>
    </cfRule>
    <cfRule type="expression" dxfId="79" priority="5">
      <formula>ISNUMBER(SEARCH("carousel",$B2))</formula>
    </cfRule>
    <cfRule type="expression" dxfId="78" priority="6">
      <formula>ISNUMBER(SEARCH("video",$B2))</formula>
    </cfRule>
    <cfRule type="expression" dxfId="7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B43" sqref="B43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 t="str">
        <f>IF($B2="","",IFERROR(VLOOKUP($B2,'Типы элементов'!$A$2:$J$15,2,FALSE),""))</f>
        <v/>
      </c>
      <c r="D2" s="9" t="str">
        <f>IF($B2="","",IFERROR(VLOOKUP($B2,'Типы элементов'!$A$2:$J$15,3,FALSE),""))</f>
        <v/>
      </c>
      <c r="E2" s="9"/>
      <c r="F2" s="9"/>
      <c r="G2" s="9" t="str">
        <f>IF($B2="","",IFERROR(VLOOKUP($B2,'Типы элементов'!$A$2:$J$15,6,FALSE),""))</f>
        <v/>
      </c>
      <c r="H2" s="9" t="str">
        <f>IF($B2="","",IFERROR(VLOOKUP($B2,'Типы элементов'!$A$2:$J$15,7,FALSE),""))</f>
        <v/>
      </c>
      <c r="I2" s="9"/>
      <c r="J2" s="9"/>
      <c r="K2" s="10" t="str">
        <f>IF($B2="","",IFERROR(VLOOKUP($B2,'Типы элементов'!$A$2:$J$15,10,FALSE),""))</f>
        <v/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/>
      </c>
      <c r="D3" s="9" t="s">
        <v>188</v>
      </c>
      <c r="E3" s="9" t="s">
        <v>189</v>
      </c>
      <c r="F3" s="9" t="str">
        <f>IF($B3="","",IFERROR(VLOOKUP($B3,'Типы элементов'!$A$2:$J$15,5,FALSE),""))</f>
        <v/>
      </c>
      <c r="G3" s="9" t="str">
        <f>IF($B3="","",IFERROR(VLOOKUP($B3,'Типы элементов'!$A$2:$J$15,6,FALSE),""))</f>
        <v/>
      </c>
      <c r="H3" s="9" t="str">
        <f>IF($B3="","",IFERROR(VLOOKUP($B3,'Типы элементов'!$A$2:$J$15,7,FALSE),""))</f>
        <v/>
      </c>
      <c r="I3" s="9" t="str">
        <f>IF($B3="","",IFERROR(VLOOKUP($B3,'Типы элементов'!$A$2:$J$15,8,FALSE),""))</f>
        <v/>
      </c>
      <c r="J3" s="9" t="str">
        <f>IF($B3="","",IFERROR(VLOOKUP($B3,'Типы элементов'!$A$2:$J$15,9,FALSE),""))</f>
        <v/>
      </c>
      <c r="K3" s="10" t="str">
        <f>IF($B3="","",IFERROR(VLOOKUP($B3,'Типы элементов'!$A$2:$J$15,10,FALSE),""))</f>
        <v/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/>
      </c>
      <c r="D4" s="9" t="s">
        <v>191</v>
      </c>
      <c r="E4" s="9" t="s">
        <v>190</v>
      </c>
      <c r="F4" s="9" t="str">
        <f>IF($B4="","",IFERROR(VLOOKUP($B4,'Типы элементов'!$A$2:$J$15,5,FALSE),""))</f>
        <v/>
      </c>
      <c r="G4" s="9" t="str">
        <f>IF($B4="","",IFERROR(VLOOKUP($B4,'Типы элементов'!$A$2:$J$15,6,FALSE),""))</f>
        <v/>
      </c>
      <c r="H4" s="9" t="str">
        <f>IF($B4="","",IFERROR(VLOOKUP($B4,'Типы элементов'!$A$2:$J$15,7,FALSE),""))</f>
        <v/>
      </c>
      <c r="I4" s="9" t="str">
        <f>IF($B4="","",IFERROR(VLOOKUP($B4,'Типы элементов'!$A$2:$J$15,8,FALSE),""))</f>
        <v/>
      </c>
      <c r="J4" s="9" t="str">
        <f>IF($B4="","",IFERROR(VLOOKUP($B4,'Типы элементов'!$A$2:$J$15,9,FALSE),""))</f>
        <v/>
      </c>
      <c r="K4" s="10" t="str">
        <f>IF($B4="","",IFERROR(VLOOKUP($B4,'Типы элементов'!$A$2:$J$15,10,FALSE),""))</f>
        <v/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/>
      </c>
      <c r="D5" s="9" t="s">
        <v>192</v>
      </c>
      <c r="E5" s="9" t="s">
        <v>193</v>
      </c>
      <c r="F5" s="9" t="str">
        <f>IF($B5="","",IFERROR(VLOOKUP($B5,'Типы элементов'!$A$2:$J$15,5,FALSE),""))</f>
        <v/>
      </c>
      <c r="G5" s="9" t="str">
        <f>IF($B5="","",IFERROR(VLOOKUP($B5,'Типы элементов'!$A$2:$J$15,6,FALSE),""))</f>
        <v/>
      </c>
      <c r="H5" s="9" t="str">
        <f>IF($B5="","",IFERROR(VLOOKUP($B5,'Типы элементов'!$A$2:$J$15,7,FALSE),""))</f>
        <v/>
      </c>
      <c r="I5" s="9" t="str">
        <f>IF($B5="","",IFERROR(VLOOKUP($B5,'Типы элементов'!$A$2:$J$15,8,FALSE),""))</f>
        <v/>
      </c>
      <c r="J5" s="9" t="str">
        <f>IF($B5="","",IFERROR(VLOOKUP($B5,'Типы элементов'!$A$2:$J$15,9,FALSE),""))</f>
        <v/>
      </c>
      <c r="K5" s="10" t="str">
        <f>IF($B5="","",IFERROR(VLOOKUP($B5,'Типы элементов'!$A$2:$J$15,10,FALSE),""))</f>
        <v/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34</v>
      </c>
      <c r="C6" s="9" t="str">
        <f>IF($B6="","",IFERROR(VLOOKUP($B6,'Типы элементов'!$A$2:$J$15,2,FALSE),""))</f>
        <v/>
      </c>
      <c r="D6" s="9" t="str">
        <f>IF($B6="","",IFERROR(VLOOKUP($B6,'Типы элементов'!$A$2:$J$15,3,FALSE),""))</f>
        <v/>
      </c>
      <c r="E6" s="9" t="s">
        <v>122</v>
      </c>
      <c r="F6" s="9" t="s">
        <v>122</v>
      </c>
      <c r="G6" s="9" t="s">
        <v>77</v>
      </c>
      <c r="H6" s="9" t="s">
        <v>78</v>
      </c>
      <c r="I6" s="9" t="s">
        <v>79</v>
      </c>
      <c r="J6" s="9" t="s">
        <v>79</v>
      </c>
      <c r="K6" s="9" t="s">
        <v>80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34</v>
      </c>
      <c r="C7" s="9" t="str">
        <f>IF($B7="","",IFERROR(VLOOKUP($B7,'Типы элементов'!$A$2:$J$15,2,FALSE),""))</f>
        <v/>
      </c>
      <c r="D7" s="9" t="str">
        <f>IF($B7="","",IFERROR(VLOOKUP($B7,'Типы элементов'!$A$2:$J$15,3,FALSE),""))</f>
        <v/>
      </c>
      <c r="E7" s="9" t="s">
        <v>122</v>
      </c>
      <c r="F7" s="9" t="s">
        <v>122</v>
      </c>
      <c r="G7" s="9" t="s">
        <v>81</v>
      </c>
      <c r="H7" s="9" t="s">
        <v>81</v>
      </c>
      <c r="I7" s="9" t="s">
        <v>81</v>
      </c>
      <c r="J7" s="9" t="s">
        <v>81</v>
      </c>
      <c r="K7" s="9" t="s">
        <v>82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 t="s">
        <v>34</v>
      </c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">
        <v>122</v>
      </c>
      <c r="F8" s="9" t="s">
        <v>122</v>
      </c>
      <c r="G8" s="9" t="s">
        <v>163</v>
      </c>
      <c r="H8" s="9" t="s">
        <v>163</v>
      </c>
      <c r="I8" s="9" t="s">
        <v>163</v>
      </c>
      <c r="J8" s="9" t="s">
        <v>163</v>
      </c>
      <c r="K8" s="9" t="s">
        <v>167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 ht="15">
      <c r="A9" s="6">
        <v>7</v>
      </c>
      <c r="B9" s="6" t="s">
        <v>34</v>
      </c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">
        <v>122</v>
      </c>
      <c r="F9" s="9" t="s">
        <v>122</v>
      </c>
      <c r="G9" s="9" t="s">
        <v>187</v>
      </c>
      <c r="H9" s="9" t="s">
        <v>187</v>
      </c>
      <c r="I9" s="9" t="s">
        <v>187</v>
      </c>
      <c r="J9" s="9" t="s">
        <v>187</v>
      </c>
      <c r="K9" s="9" t="s">
        <v>186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83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7 G6:H8 G7:K9 I8:P8 A8:F9 K9:P9 A10:P101">
    <cfRule type="expression" dxfId="76" priority="1">
      <formula>ISNUMBER(SEARCH("text",$B2))</formula>
    </cfRule>
    <cfRule type="expression" dxfId="75" priority="2">
      <formula>ISNUMBER(SEARCH("title",$B2))</formula>
    </cfRule>
    <cfRule type="expression" dxfId="74" priority="3">
      <formula>ISNUMBER(SEARCH("hero",$B2))</formula>
    </cfRule>
    <cfRule type="expression" dxfId="73" priority="4">
      <formula>ISNUMBER(SEARCH("card",$B2))</formula>
    </cfRule>
    <cfRule type="expression" dxfId="72" priority="5">
      <formula>ISNUMBER(SEARCH("carousel",$B2))</formula>
    </cfRule>
    <cfRule type="expression" dxfId="71" priority="6">
      <formula>ISNUMBER(SEARCH("video",$B2))</formula>
    </cfRule>
    <cfRule type="expression" dxfId="70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Q167"/>
  <sheetViews>
    <sheetView topLeftCell="H1" workbookViewId="0">
      <pane ySplit="1" topLeftCell="A17" activePane="bottomLeft" state="frozen"/>
      <selection pane="bottomLeft" activeCell="L42" sqref="L42:O42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77</v>
      </c>
      <c r="D3" s="6" t="s">
        <v>78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84</v>
      </c>
      <c r="D4" s="6" t="s">
        <v>85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63</v>
      </c>
    </row>
    <row r="6" spans="1:16">
      <c r="A6" s="6">
        <v>5</v>
      </c>
      <c r="B6" s="6" t="s">
        <v>30</v>
      </c>
      <c r="C6" s="6" t="s">
        <v>121</v>
      </c>
      <c r="D6" s="6" t="s">
        <v>121</v>
      </c>
      <c r="E6" s="6" t="s">
        <v>86</v>
      </c>
      <c r="F6" s="6" t="s">
        <v>86</v>
      </c>
      <c r="K6" s="6" t="s">
        <v>121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87</v>
      </c>
      <c r="D7" s="6" t="s">
        <v>87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88</v>
      </c>
      <c r="D8" s="6" t="s">
        <v>88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89</v>
      </c>
      <c r="D9" s="6" t="s">
        <v>89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66</v>
      </c>
      <c r="C10" s="6" t="s">
        <v>90</v>
      </c>
      <c r="D10" s="6" t="s">
        <v>90</v>
      </c>
      <c r="E10" s="6">
        <v>0</v>
      </c>
      <c r="F10" s="6">
        <v>0</v>
      </c>
      <c r="G10" s="6">
        <v>0</v>
      </c>
      <c r="H10" s="6">
        <v>0</v>
      </c>
      <c r="I10" s="6" t="s">
        <v>67</v>
      </c>
      <c r="J10" s="6" t="s">
        <v>68</v>
      </c>
      <c r="K10" s="6">
        <v>0</v>
      </c>
    </row>
    <row r="11" spans="1:16">
      <c r="A11" s="6">
        <v>10</v>
      </c>
      <c r="B11" s="6" t="s">
        <v>66</v>
      </c>
      <c r="C11" s="6" t="s">
        <v>91</v>
      </c>
      <c r="D11" s="6" t="s">
        <v>91</v>
      </c>
      <c r="E11" s="6">
        <v>0</v>
      </c>
      <c r="F11" s="6">
        <v>0</v>
      </c>
      <c r="G11" s="6">
        <v>0</v>
      </c>
      <c r="H11" s="6">
        <v>0</v>
      </c>
      <c r="I11" s="6" t="s">
        <v>67</v>
      </c>
      <c r="J11" s="6" t="s">
        <v>68</v>
      </c>
      <c r="K11" s="6">
        <v>0</v>
      </c>
    </row>
    <row r="12" spans="1:16">
      <c r="A12" s="6">
        <v>11</v>
      </c>
      <c r="B12" s="6" t="s">
        <v>66</v>
      </c>
      <c r="C12" s="6" t="s">
        <v>92</v>
      </c>
      <c r="D12" s="6" t="s">
        <v>92</v>
      </c>
      <c r="E12" s="6">
        <v>0</v>
      </c>
      <c r="F12" s="6">
        <v>0</v>
      </c>
      <c r="G12" s="6">
        <v>0</v>
      </c>
      <c r="H12" s="6">
        <v>0</v>
      </c>
      <c r="I12" s="6" t="s">
        <v>67</v>
      </c>
      <c r="J12" s="6" t="s">
        <v>68</v>
      </c>
      <c r="K12" s="6">
        <v>0</v>
      </c>
    </row>
    <row r="13" spans="1:16">
      <c r="A13" s="6">
        <v>12</v>
      </c>
      <c r="B13" s="6" t="s">
        <v>66</v>
      </c>
      <c r="C13" s="6" t="s">
        <v>93</v>
      </c>
      <c r="D13" s="6" t="s">
        <v>93</v>
      </c>
      <c r="E13" s="6">
        <v>0</v>
      </c>
      <c r="F13" s="6">
        <v>0</v>
      </c>
      <c r="G13" s="6">
        <v>0</v>
      </c>
      <c r="H13" s="6">
        <v>0</v>
      </c>
      <c r="I13" s="6" t="s">
        <v>67</v>
      </c>
      <c r="J13" s="6" t="s">
        <v>68</v>
      </c>
      <c r="K13" s="6">
        <v>0</v>
      </c>
    </row>
    <row r="14" spans="1:16">
      <c r="A14" s="6">
        <v>13</v>
      </c>
      <c r="B14" s="6" t="s">
        <v>27</v>
      </c>
      <c r="C14" s="6" t="s">
        <v>94</v>
      </c>
      <c r="D14" s="6" t="s">
        <v>94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95</v>
      </c>
      <c r="D15" s="6" t="s">
        <v>95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96</v>
      </c>
      <c r="D16" s="6" t="s">
        <v>96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66</v>
      </c>
      <c r="C17" s="6" t="s">
        <v>97</v>
      </c>
      <c r="D17" s="6" t="s">
        <v>97</v>
      </c>
      <c r="E17" s="6">
        <v>0</v>
      </c>
      <c r="F17" s="6">
        <v>0</v>
      </c>
      <c r="G17" s="6">
        <v>0</v>
      </c>
      <c r="H17" s="6">
        <v>0</v>
      </c>
      <c r="I17" s="6" t="s">
        <v>67</v>
      </c>
      <c r="J17" s="6" t="s">
        <v>68</v>
      </c>
      <c r="K17" s="6">
        <v>0</v>
      </c>
    </row>
    <row r="18" spans="1:11">
      <c r="A18" s="6">
        <v>17</v>
      </c>
      <c r="B18" s="6" t="s">
        <v>66</v>
      </c>
      <c r="C18" s="6" t="s">
        <v>98</v>
      </c>
      <c r="D18" s="6" t="s">
        <v>98</v>
      </c>
      <c r="E18" s="6">
        <v>0</v>
      </c>
      <c r="F18" s="6">
        <v>0</v>
      </c>
      <c r="G18" s="6">
        <v>0</v>
      </c>
      <c r="H18" s="6">
        <v>0</v>
      </c>
      <c r="I18" s="6" t="s">
        <v>67</v>
      </c>
      <c r="J18" s="6" t="s">
        <v>68</v>
      </c>
      <c r="K18" s="6">
        <v>0</v>
      </c>
    </row>
    <row r="19" spans="1:11">
      <c r="A19" s="6">
        <v>18</v>
      </c>
      <c r="B19" s="6" t="s">
        <v>27</v>
      </c>
      <c r="C19" s="6" t="s">
        <v>99</v>
      </c>
      <c r="D19" s="6" t="s">
        <v>99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66</v>
      </c>
      <c r="C20" s="6" t="s">
        <v>100</v>
      </c>
      <c r="D20" s="6" t="s">
        <v>100</v>
      </c>
      <c r="E20" s="6">
        <v>0</v>
      </c>
      <c r="F20" s="6">
        <v>0</v>
      </c>
      <c r="G20" s="6">
        <v>0</v>
      </c>
      <c r="H20" s="6">
        <v>0</v>
      </c>
      <c r="I20" s="6" t="s">
        <v>67</v>
      </c>
      <c r="J20" s="6" t="s">
        <v>68</v>
      </c>
      <c r="K20" s="6">
        <v>0</v>
      </c>
    </row>
    <row r="21" spans="1:11">
      <c r="A21" s="6">
        <v>20</v>
      </c>
      <c r="B21" s="6" t="s">
        <v>66</v>
      </c>
      <c r="C21" s="6" t="s">
        <v>101</v>
      </c>
      <c r="D21" s="6" t="s">
        <v>101</v>
      </c>
      <c r="E21" s="6">
        <v>0</v>
      </c>
      <c r="F21" s="6">
        <v>0</v>
      </c>
      <c r="G21" s="6">
        <v>0</v>
      </c>
      <c r="H21" s="6">
        <v>0</v>
      </c>
      <c r="I21" s="6" t="s">
        <v>67</v>
      </c>
      <c r="J21" s="6" t="s">
        <v>68</v>
      </c>
      <c r="K21" s="6">
        <v>0</v>
      </c>
    </row>
    <row r="22" spans="1:11">
      <c r="A22" s="6">
        <v>21</v>
      </c>
      <c r="B22" s="6" t="s">
        <v>66</v>
      </c>
      <c r="C22" s="6" t="s">
        <v>102</v>
      </c>
      <c r="D22" s="6" t="s">
        <v>102</v>
      </c>
      <c r="E22" s="6">
        <v>0</v>
      </c>
      <c r="F22" s="6">
        <v>0</v>
      </c>
      <c r="G22" s="6">
        <v>0</v>
      </c>
      <c r="H22" s="6">
        <v>0</v>
      </c>
      <c r="I22" s="6" t="s">
        <v>67</v>
      </c>
      <c r="J22" s="6" t="s">
        <v>68</v>
      </c>
      <c r="K22" s="6">
        <v>0</v>
      </c>
    </row>
    <row r="23" spans="1:11">
      <c r="A23" s="6">
        <v>22</v>
      </c>
      <c r="B23" s="6" t="s">
        <v>66</v>
      </c>
      <c r="C23" s="6" t="s">
        <v>103</v>
      </c>
      <c r="D23" s="6" t="s">
        <v>103</v>
      </c>
      <c r="E23" s="6">
        <v>0</v>
      </c>
      <c r="F23" s="6">
        <v>0</v>
      </c>
      <c r="G23" s="6">
        <v>0</v>
      </c>
      <c r="H23" s="6">
        <v>0</v>
      </c>
      <c r="I23" s="6" t="s">
        <v>67</v>
      </c>
      <c r="J23" s="6" t="s">
        <v>68</v>
      </c>
      <c r="K23" s="6">
        <v>0</v>
      </c>
    </row>
    <row r="24" spans="1:11">
      <c r="A24" s="6">
        <v>23</v>
      </c>
      <c r="B24" s="6" t="s">
        <v>66</v>
      </c>
      <c r="C24" s="6" t="s">
        <v>104</v>
      </c>
      <c r="D24" s="6" t="s">
        <v>104</v>
      </c>
      <c r="E24" s="6">
        <v>0</v>
      </c>
      <c r="F24" s="6">
        <v>0</v>
      </c>
      <c r="G24" s="6">
        <v>0</v>
      </c>
      <c r="H24" s="6">
        <v>0</v>
      </c>
      <c r="I24" s="6" t="s">
        <v>67</v>
      </c>
      <c r="J24" s="6" t="s">
        <v>68</v>
      </c>
      <c r="K24" s="6">
        <v>0</v>
      </c>
    </row>
    <row r="25" spans="1:11">
      <c r="A25" s="6">
        <v>24</v>
      </c>
      <c r="B25" s="6" t="s">
        <v>66</v>
      </c>
      <c r="C25" s="6" t="s">
        <v>105</v>
      </c>
      <c r="D25" s="6" t="s">
        <v>105</v>
      </c>
      <c r="E25" s="6">
        <v>0</v>
      </c>
      <c r="F25" s="6">
        <v>0</v>
      </c>
      <c r="G25" s="6">
        <v>0</v>
      </c>
      <c r="H25" s="6">
        <v>0</v>
      </c>
      <c r="I25" s="6" t="s">
        <v>67</v>
      </c>
      <c r="J25" s="6" t="s">
        <v>68</v>
      </c>
      <c r="K25" s="6">
        <v>0</v>
      </c>
    </row>
    <row r="26" spans="1:11">
      <c r="A26" s="6">
        <v>25</v>
      </c>
      <c r="B26" s="6" t="s">
        <v>27</v>
      </c>
      <c r="C26" s="6" t="s">
        <v>106</v>
      </c>
      <c r="D26" s="6" t="s">
        <v>106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66</v>
      </c>
      <c r="C27" s="6" t="s">
        <v>107</v>
      </c>
      <c r="D27" s="6" t="s">
        <v>107</v>
      </c>
      <c r="E27" s="6">
        <v>0</v>
      </c>
      <c r="F27" s="6">
        <v>0</v>
      </c>
      <c r="G27" s="6">
        <v>0</v>
      </c>
      <c r="H27" s="6">
        <v>0</v>
      </c>
      <c r="I27" s="6" t="s">
        <v>67</v>
      </c>
      <c r="J27" s="6" t="s">
        <v>68</v>
      </c>
      <c r="K27" s="6">
        <v>0</v>
      </c>
    </row>
    <row r="28" spans="1:11">
      <c r="A28" s="6">
        <v>27</v>
      </c>
      <c r="B28" s="6" t="s">
        <v>66</v>
      </c>
      <c r="C28" s="6" t="s">
        <v>108</v>
      </c>
      <c r="D28" s="6" t="s">
        <v>108</v>
      </c>
      <c r="E28" s="6">
        <v>0</v>
      </c>
      <c r="F28" s="6">
        <v>0</v>
      </c>
      <c r="G28" s="6">
        <v>0</v>
      </c>
      <c r="H28" s="6">
        <v>0</v>
      </c>
      <c r="I28" s="6" t="s">
        <v>67</v>
      </c>
      <c r="J28" s="6" t="s">
        <v>68</v>
      </c>
      <c r="K28" s="6">
        <v>0</v>
      </c>
    </row>
    <row r="29" spans="1:11">
      <c r="A29" s="6">
        <v>28</v>
      </c>
      <c r="B29" s="6" t="s">
        <v>66</v>
      </c>
      <c r="C29" s="6" t="s">
        <v>109</v>
      </c>
      <c r="D29" s="6" t="s">
        <v>109</v>
      </c>
      <c r="E29" s="6">
        <v>0</v>
      </c>
      <c r="F29" s="6">
        <v>0</v>
      </c>
      <c r="G29" s="6">
        <v>0</v>
      </c>
      <c r="H29" s="6">
        <v>0</v>
      </c>
      <c r="I29" s="6" t="s">
        <v>67</v>
      </c>
      <c r="J29" s="6" t="s">
        <v>68</v>
      </c>
      <c r="K29" s="6">
        <v>0</v>
      </c>
    </row>
    <row r="30" spans="1:11">
      <c r="A30" s="6">
        <v>29</v>
      </c>
      <c r="B30" s="6" t="s">
        <v>24</v>
      </c>
      <c r="C30" s="6" t="s">
        <v>110</v>
      </c>
      <c r="D30" s="6" t="s">
        <v>110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111</v>
      </c>
      <c r="D31" s="6" t="s">
        <v>111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66</v>
      </c>
      <c r="C32" s="6" t="s">
        <v>112</v>
      </c>
      <c r="D32" s="6" t="s">
        <v>112</v>
      </c>
      <c r="E32" s="6">
        <v>0</v>
      </c>
      <c r="F32" s="6">
        <v>0</v>
      </c>
      <c r="G32" s="6">
        <v>0</v>
      </c>
      <c r="H32" s="6">
        <v>0</v>
      </c>
      <c r="I32" s="6" t="s">
        <v>67</v>
      </c>
      <c r="J32" s="6" t="s">
        <v>68</v>
      </c>
      <c r="K32" s="6">
        <v>0</v>
      </c>
    </row>
    <row r="33" spans="1:17">
      <c r="A33" s="6">
        <v>32</v>
      </c>
      <c r="B33" s="6" t="s">
        <v>66</v>
      </c>
      <c r="C33" s="6" t="s">
        <v>113</v>
      </c>
      <c r="D33" s="6" t="s">
        <v>113</v>
      </c>
      <c r="E33" s="6">
        <v>0</v>
      </c>
      <c r="F33" s="6">
        <v>0</v>
      </c>
      <c r="G33" s="6">
        <v>0</v>
      </c>
      <c r="H33" s="6">
        <v>0</v>
      </c>
      <c r="I33" s="6" t="s">
        <v>67</v>
      </c>
      <c r="J33" s="6" t="s">
        <v>68</v>
      </c>
      <c r="K33" s="6">
        <v>0</v>
      </c>
    </row>
    <row r="34" spans="1:17">
      <c r="A34" s="6">
        <v>33</v>
      </c>
      <c r="B34" s="6" t="s">
        <v>66</v>
      </c>
      <c r="C34" s="6" t="s">
        <v>114</v>
      </c>
      <c r="D34" s="6" t="s">
        <v>114</v>
      </c>
      <c r="E34" s="6">
        <v>0</v>
      </c>
      <c r="F34" s="6">
        <v>0</v>
      </c>
      <c r="G34" s="6">
        <v>0</v>
      </c>
      <c r="H34" s="6">
        <v>0</v>
      </c>
      <c r="I34" s="6" t="s">
        <v>67</v>
      </c>
      <c r="J34" s="6" t="s">
        <v>68</v>
      </c>
      <c r="K34" s="6">
        <v>0</v>
      </c>
    </row>
    <row r="35" spans="1:17">
      <c r="A35" s="6">
        <v>34</v>
      </c>
      <c r="B35" s="6" t="s">
        <v>27</v>
      </c>
      <c r="C35" s="6" t="s">
        <v>115</v>
      </c>
      <c r="D35" s="6" t="s">
        <v>115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7">
      <c r="A36" s="6">
        <v>35</v>
      </c>
      <c r="B36" s="6" t="s">
        <v>66</v>
      </c>
      <c r="C36" s="6" t="s">
        <v>116</v>
      </c>
      <c r="D36" s="6" t="s">
        <v>116</v>
      </c>
      <c r="E36" s="6">
        <v>0</v>
      </c>
      <c r="F36" s="6">
        <v>0</v>
      </c>
      <c r="G36" s="6">
        <v>0</v>
      </c>
      <c r="H36" s="6">
        <v>0</v>
      </c>
      <c r="I36" s="6" t="s">
        <v>67</v>
      </c>
      <c r="J36" s="6" t="s">
        <v>68</v>
      </c>
      <c r="K36" s="6">
        <v>0</v>
      </c>
    </row>
    <row r="37" spans="1:17">
      <c r="A37" s="6">
        <v>36</v>
      </c>
      <c r="B37" s="6" t="s">
        <v>66</v>
      </c>
      <c r="C37" s="6" t="s">
        <v>117</v>
      </c>
      <c r="D37" s="6" t="s">
        <v>117</v>
      </c>
      <c r="E37" s="6">
        <v>0</v>
      </c>
      <c r="F37" s="6">
        <v>0</v>
      </c>
      <c r="G37" s="6">
        <v>0</v>
      </c>
      <c r="H37" s="6">
        <v>0</v>
      </c>
      <c r="I37" s="6" t="s">
        <v>67</v>
      </c>
      <c r="J37" s="6" t="s">
        <v>68</v>
      </c>
      <c r="K37" s="6">
        <v>0</v>
      </c>
    </row>
    <row r="38" spans="1:17">
      <c r="A38" s="6">
        <v>37</v>
      </c>
      <c r="B38" s="6" t="s">
        <v>66</v>
      </c>
      <c r="C38" s="6" t="s">
        <v>118</v>
      </c>
      <c r="D38" s="6" t="s">
        <v>118</v>
      </c>
      <c r="E38" s="6">
        <v>0</v>
      </c>
      <c r="F38" s="6">
        <v>0</v>
      </c>
      <c r="G38" s="6">
        <v>0</v>
      </c>
      <c r="H38" s="6">
        <v>0</v>
      </c>
      <c r="I38" s="6" t="s">
        <v>67</v>
      </c>
      <c r="J38" s="6" t="s">
        <v>68</v>
      </c>
      <c r="K38" s="6">
        <v>0</v>
      </c>
    </row>
    <row r="39" spans="1:17">
      <c r="A39" s="6">
        <v>38</v>
      </c>
      <c r="B39" s="6" t="s">
        <v>27</v>
      </c>
      <c r="C39" s="6" t="s">
        <v>106</v>
      </c>
      <c r="D39" s="6" t="s">
        <v>106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7">
      <c r="A40" s="6">
        <v>39</v>
      </c>
      <c r="B40" s="6" t="s">
        <v>66</v>
      </c>
      <c r="C40" s="6" t="s">
        <v>119</v>
      </c>
      <c r="D40" s="6" t="s">
        <v>119</v>
      </c>
      <c r="E40" s="6">
        <v>0</v>
      </c>
      <c r="F40" s="6">
        <v>0</v>
      </c>
      <c r="G40" s="6">
        <v>0</v>
      </c>
      <c r="H40" s="6">
        <v>0</v>
      </c>
      <c r="I40" s="6" t="s">
        <v>67</v>
      </c>
      <c r="J40" s="6" t="s">
        <v>68</v>
      </c>
      <c r="K40" s="6">
        <v>0</v>
      </c>
    </row>
    <row r="41" spans="1:17">
      <c r="A41" s="6">
        <v>40</v>
      </c>
      <c r="B41" s="6" t="s">
        <v>66</v>
      </c>
      <c r="C41" s="6" t="s">
        <v>120</v>
      </c>
      <c r="D41" s="6" t="s">
        <v>120</v>
      </c>
      <c r="E41" s="6">
        <v>0</v>
      </c>
      <c r="F41" s="6">
        <v>0</v>
      </c>
      <c r="G41" s="6">
        <v>0</v>
      </c>
      <c r="H41" s="6">
        <v>0</v>
      </c>
      <c r="I41" s="6" t="s">
        <v>67</v>
      </c>
      <c r="J41" s="6" t="s">
        <v>68</v>
      </c>
      <c r="K41" s="6">
        <v>0</v>
      </c>
    </row>
    <row r="42" spans="1:17">
      <c r="A42" s="6">
        <v>41</v>
      </c>
      <c r="B42" s="6" t="s">
        <v>211</v>
      </c>
      <c r="C42" s="6" t="s">
        <v>121</v>
      </c>
      <c r="D42" s="6" t="s">
        <v>121</v>
      </c>
      <c r="E42" s="6" t="s">
        <v>215</v>
      </c>
      <c r="F42" s="6" t="s">
        <v>215</v>
      </c>
      <c r="G42" s="6" t="s">
        <v>121</v>
      </c>
      <c r="H42" s="6" t="s">
        <v>121</v>
      </c>
      <c r="I42" s="6" t="s">
        <v>121</v>
      </c>
      <c r="J42" s="6" t="s">
        <v>121</v>
      </c>
      <c r="K42" s="6" t="s">
        <v>121</v>
      </c>
      <c r="P42" s="6" t="s">
        <v>121</v>
      </c>
      <c r="Q42" s="6" t="s">
        <v>121</v>
      </c>
    </row>
    <row r="43" spans="1:17">
      <c r="A43" s="6">
        <v>42</v>
      </c>
      <c r="B43" s="6" t="s">
        <v>34</v>
      </c>
      <c r="C43" s="6" t="str">
        <f>IF($B43="","",IFERROR(VLOOKUP($B43,'Типы элементов'!$A$2:$J$15,2,FALSE),""))</f>
        <v/>
      </c>
      <c r="D43" s="6" t="str">
        <f>IF($B43="","",IFERROR(VLOOKUP($B43,'Типы элементов'!$A$2:$J$15,3,FALSE),""))</f>
        <v/>
      </c>
      <c r="E43" s="6" t="s">
        <v>122</v>
      </c>
      <c r="F43" s="6" t="s">
        <v>122</v>
      </c>
      <c r="G43" s="6" t="s">
        <v>194</v>
      </c>
      <c r="H43" s="6" t="s">
        <v>194</v>
      </c>
      <c r="K43" s="6" t="s">
        <v>195</v>
      </c>
      <c r="L43" s="6">
        <f>IF($B43="","",IFERROR(INDEX('Типы элементов'!$L:$L,MATCH($B43,'Типы элементов'!$B:$B,0)),""))</f>
        <v>0</v>
      </c>
      <c r="M43" s="6">
        <f>IF($B43="","",IFERROR(INDEX('Типы элементов'!$M:$M,MATCH($B43,'Типы элементов'!$B:$B,0)),""))</f>
        <v>0</v>
      </c>
      <c r="N43" s="6">
        <f>IF($B43="","",IFERROR(INDEX('Типы элементов'!$N:$N,MATCH($B43,'Типы элементов'!$B:$B,0)),""))</f>
        <v>0</v>
      </c>
      <c r="O43" s="6">
        <f>IF($B43="","",IFERROR(INDEX('Типы элементов'!$O:$O,MATCH($B43,'Типы элементов'!$B:$B,0)),""))</f>
        <v>0</v>
      </c>
      <c r="P43" s="6">
        <f>IF($B43="","",IFERROR(INDEX('Типы элементов'!$P:$P,MATCH($B43,'Типы элементов'!$B:$B,0)),""))</f>
        <v>0</v>
      </c>
    </row>
    <row r="44" spans="1:17">
      <c r="A44" s="6">
        <v>43</v>
      </c>
      <c r="B44" s="6" t="s">
        <v>34</v>
      </c>
      <c r="C44" s="6" t="str">
        <f>IF($B44="","",IFERROR(VLOOKUP($B44,'Типы элементов'!$A$2:$J$15,2,FALSE),""))</f>
        <v/>
      </c>
      <c r="D44" s="6" t="str">
        <f>IF($B44="","",IFERROR(VLOOKUP($B44,'Типы элементов'!$A$2:$J$15,3,FALSE),""))</f>
        <v/>
      </c>
      <c r="E44" s="6" t="s">
        <v>122</v>
      </c>
      <c r="F44" s="6" t="s">
        <v>122</v>
      </c>
      <c r="G44" s="6" t="s">
        <v>178</v>
      </c>
      <c r="H44" s="6" t="s">
        <v>178</v>
      </c>
      <c r="I44" s="6" t="s">
        <v>81</v>
      </c>
      <c r="J44" s="6" t="s">
        <v>81</v>
      </c>
      <c r="K44" s="6" t="s">
        <v>82</v>
      </c>
      <c r="L44" s="6">
        <f>IF($B44="","",IFERROR(INDEX('Типы элементов'!$L:$L,MATCH($B44,'Типы элементов'!$B:$B,0)),""))</f>
        <v>0</v>
      </c>
      <c r="M44" s="6">
        <f>IF($B44="","",IFERROR(INDEX('Типы элементов'!$M:$M,MATCH($B44,'Типы элементов'!$B:$B,0)),""))</f>
        <v>0</v>
      </c>
      <c r="N44" s="6">
        <f>IF($B44="","",IFERROR(INDEX('Типы элементов'!$N:$N,MATCH($B44,'Типы элементов'!$B:$B,0)),""))</f>
        <v>0</v>
      </c>
      <c r="O44" s="6">
        <f>IF($B44="","",IFERROR(INDEX('Типы элементов'!$O:$O,MATCH($B44,'Типы элементов'!$B:$B,0)),""))</f>
        <v>0</v>
      </c>
      <c r="P44" s="6">
        <f>IF($B44="","",IFERROR(INDEX('Типы элементов'!$P:$P,MATCH($B44,'Типы элементов'!$B:$B,0)),""))</f>
        <v>0</v>
      </c>
    </row>
    <row r="45" spans="1:17">
      <c r="A45" s="6">
        <v>44</v>
      </c>
      <c r="C45" s="6" t="s">
        <v>121</v>
      </c>
      <c r="D45" s="6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</row>
    <row r="46" spans="1:17">
      <c r="A46" s="6">
        <v>45</v>
      </c>
      <c r="C46" s="6" t="s">
        <v>121</v>
      </c>
      <c r="D46" s="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</row>
    <row r="47" spans="1:17">
      <c r="A47" s="6">
        <v>46</v>
      </c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</row>
    <row r="48" spans="1:17">
      <c r="A48" s="6">
        <v>47</v>
      </c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</row>
    <row r="49" spans="1:11">
      <c r="A49" s="6">
        <v>48</v>
      </c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</row>
    <row r="50" spans="1:11">
      <c r="A50" s="6">
        <v>49</v>
      </c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</row>
    <row r="51" spans="1:11">
      <c r="A51" s="6">
        <v>50</v>
      </c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</row>
    <row r="52" spans="1:11">
      <c r="A52" s="6">
        <v>50</v>
      </c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</row>
    <row r="53" spans="1:11">
      <c r="A53" s="6">
        <v>51</v>
      </c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</row>
    <row r="54" spans="1:11">
      <c r="A54" s="6">
        <v>52</v>
      </c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</row>
    <row r="55" spans="1:11">
      <c r="A55" s="6">
        <v>53</v>
      </c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</row>
    <row r="56" spans="1:11">
      <c r="A56" s="6">
        <v>54</v>
      </c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</row>
    <row r="57" spans="1:11">
      <c r="A57" s="6">
        <v>55</v>
      </c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</row>
    <row r="58" spans="1:11">
      <c r="A58" s="6">
        <v>56</v>
      </c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</row>
    <row r="59" spans="1:11">
      <c r="A59" s="6">
        <v>57</v>
      </c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</row>
    <row r="60" spans="1:11">
      <c r="A60" s="6">
        <v>58</v>
      </c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</row>
    <row r="61" spans="1:11">
      <c r="A61" s="6">
        <v>59</v>
      </c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</row>
    <row r="62" spans="1:11">
      <c r="A62" s="6">
        <v>60</v>
      </c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</row>
    <row r="63" spans="1:11">
      <c r="A63" s="6">
        <v>61</v>
      </c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</row>
    <row r="64" spans="1:11">
      <c r="A64" s="6">
        <v>62</v>
      </c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</row>
    <row r="65" spans="1:11">
      <c r="A65" s="6">
        <v>63</v>
      </c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</row>
    <row r="66" spans="1:11">
      <c r="A66" s="6">
        <v>64</v>
      </c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</row>
    <row r="67" spans="1:11">
      <c r="A67" s="6">
        <v>65</v>
      </c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</row>
    <row r="68" spans="1:11">
      <c r="A68" s="6">
        <v>66</v>
      </c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</row>
    <row r="69" spans="1:11">
      <c r="A69" s="6">
        <v>67</v>
      </c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</row>
    <row r="70" spans="1:11">
      <c r="A70" s="6">
        <v>68</v>
      </c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</row>
    <row r="71" spans="1:11">
      <c r="A71" s="6">
        <v>69</v>
      </c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</row>
    <row r="72" spans="1:11">
      <c r="A72" s="6">
        <v>70</v>
      </c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</row>
    <row r="73" spans="1:11">
      <c r="A73" s="6">
        <v>71</v>
      </c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</row>
    <row r="74" spans="1:11">
      <c r="A74" s="6">
        <v>72</v>
      </c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</row>
    <row r="75" spans="1:11">
      <c r="A75" s="6">
        <v>73</v>
      </c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</row>
    <row r="76" spans="1:11">
      <c r="A76" s="6">
        <v>74</v>
      </c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</row>
    <row r="77" spans="1:11">
      <c r="A77" s="6">
        <v>75</v>
      </c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</row>
    <row r="78" spans="1:11">
      <c r="A78" s="6">
        <v>76</v>
      </c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</row>
    <row r="79" spans="1:11">
      <c r="A79" s="6">
        <v>77</v>
      </c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</row>
    <row r="80" spans="1:11">
      <c r="A80" s="6">
        <v>78</v>
      </c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</row>
    <row r="81" spans="1:11">
      <c r="A81" s="6">
        <v>79</v>
      </c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</row>
    <row r="82" spans="1:11">
      <c r="A82" s="6">
        <v>80</v>
      </c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</row>
    <row r="83" spans="1:11">
      <c r="A83" s="6">
        <v>81</v>
      </c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</row>
    <row r="84" spans="1:11">
      <c r="A84" s="6">
        <v>82</v>
      </c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</row>
    <row r="85" spans="1:11">
      <c r="A85" s="6">
        <v>83</v>
      </c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</row>
    <row r="86" spans="1:11">
      <c r="A86" s="6">
        <v>84</v>
      </c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</row>
    <row r="87" spans="1:11">
      <c r="A87" s="6">
        <v>85</v>
      </c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</row>
    <row r="88" spans="1:11">
      <c r="A88" s="6">
        <v>86</v>
      </c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</row>
    <row r="89" spans="1:11">
      <c r="A89" s="6">
        <v>87</v>
      </c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</row>
    <row r="90" spans="1:11">
      <c r="A90" s="6">
        <v>88</v>
      </c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</row>
    <row r="91" spans="1:11">
      <c r="A91" s="6">
        <v>89</v>
      </c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</row>
    <row r="92" spans="1:11">
      <c r="A92" s="6">
        <v>90</v>
      </c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</row>
    <row r="93" spans="1:11">
      <c r="A93" s="6">
        <v>91</v>
      </c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</row>
    <row r="94" spans="1:11">
      <c r="A94" s="6">
        <v>92</v>
      </c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</row>
    <row r="95" spans="1:11">
      <c r="A95" s="6">
        <v>93</v>
      </c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</row>
    <row r="96" spans="1:11">
      <c r="A96" s="6">
        <v>94</v>
      </c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</row>
    <row r="97" spans="1:11">
      <c r="A97" s="6">
        <v>95</v>
      </c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</row>
    <row r="98" spans="1:11">
      <c r="A98" s="6">
        <v>96</v>
      </c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</row>
    <row r="99" spans="1:11">
      <c r="A99" s="6">
        <v>97</v>
      </c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</row>
    <row r="100" spans="1:11">
      <c r="A100" s="6">
        <v>98</v>
      </c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</row>
    <row r="101" spans="1:11">
      <c r="A101" s="6">
        <v>99</v>
      </c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</row>
    <row r="102" spans="1:11">
      <c r="A102" s="6">
        <v>100</v>
      </c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</row>
    <row r="103" spans="1:11"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</row>
    <row r="104" spans="1:11"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</row>
    <row r="105" spans="1:11"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</row>
    <row r="106" spans="1:11"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</row>
    <row r="107" spans="1:11"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</row>
    <row r="108" spans="1:11"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</row>
    <row r="109" spans="1:11"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</row>
    <row r="110" spans="1:11"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</row>
    <row r="111" spans="1:11"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</row>
    <row r="112" spans="1:11"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</row>
    <row r="113" spans="3:11"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</row>
    <row r="114" spans="3:11"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</row>
    <row r="115" spans="3:11"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</row>
    <row r="116" spans="3:11"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</row>
    <row r="117" spans="3:11"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</row>
    <row r="118" spans="3:11"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</row>
    <row r="119" spans="3:11"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</row>
    <row r="120" spans="3:11"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</row>
    <row r="121" spans="3:11"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</row>
    <row r="122" spans="3:11"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</row>
    <row r="123" spans="3:11"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</row>
    <row r="124" spans="3:11"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</row>
    <row r="125" spans="3:11"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</row>
    <row r="126" spans="3:11"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</row>
    <row r="127" spans="3:11"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</row>
    <row r="128" spans="3:11">
      <c r="C128" s="6" t="s">
        <v>121</v>
      </c>
      <c r="D128" s="6" t="s">
        <v>121</v>
      </c>
      <c r="E128" s="6" t="s">
        <v>121</v>
      </c>
      <c r="F128" s="6" t="s">
        <v>121</v>
      </c>
      <c r="G128" s="6" t="s">
        <v>121</v>
      </c>
      <c r="H128" s="6" t="s">
        <v>121</v>
      </c>
      <c r="I128" s="6" t="s">
        <v>121</v>
      </c>
      <c r="J128" s="6" t="s">
        <v>121</v>
      </c>
      <c r="K128" s="6" t="s">
        <v>121</v>
      </c>
    </row>
    <row r="129" spans="3:11">
      <c r="C129" s="6" t="s">
        <v>121</v>
      </c>
      <c r="D129" s="6" t="s">
        <v>121</v>
      </c>
      <c r="E129" s="6" t="s">
        <v>121</v>
      </c>
      <c r="F129" s="6" t="s">
        <v>121</v>
      </c>
      <c r="G129" s="6" t="s">
        <v>121</v>
      </c>
      <c r="H129" s="6" t="s">
        <v>121</v>
      </c>
      <c r="I129" s="6" t="s">
        <v>121</v>
      </c>
      <c r="J129" s="6" t="s">
        <v>121</v>
      </c>
      <c r="K129" s="6" t="s">
        <v>121</v>
      </c>
    </row>
    <row r="130" spans="3:11">
      <c r="C130" s="6" t="s">
        <v>121</v>
      </c>
      <c r="D130" s="6" t="s">
        <v>121</v>
      </c>
      <c r="E130" s="6" t="s">
        <v>121</v>
      </c>
      <c r="F130" s="6" t="s">
        <v>121</v>
      </c>
      <c r="G130" s="6" t="s">
        <v>121</v>
      </c>
      <c r="H130" s="6" t="s">
        <v>121</v>
      </c>
      <c r="I130" s="6" t="s">
        <v>121</v>
      </c>
      <c r="J130" s="6" t="s">
        <v>121</v>
      </c>
      <c r="K130" s="6" t="s">
        <v>121</v>
      </c>
    </row>
    <row r="131" spans="3:11">
      <c r="C131" s="6" t="s">
        <v>121</v>
      </c>
      <c r="D131" s="6" t="s">
        <v>121</v>
      </c>
      <c r="E131" s="6" t="s">
        <v>121</v>
      </c>
      <c r="F131" s="6" t="s">
        <v>121</v>
      </c>
      <c r="G131" s="6" t="s">
        <v>121</v>
      </c>
      <c r="H131" s="6" t="s">
        <v>121</v>
      </c>
      <c r="I131" s="6" t="s">
        <v>121</v>
      </c>
      <c r="J131" s="6" t="s">
        <v>121</v>
      </c>
      <c r="K131" s="6" t="s">
        <v>121</v>
      </c>
    </row>
    <row r="132" spans="3:11">
      <c r="C132" s="6" t="s">
        <v>121</v>
      </c>
      <c r="D132" s="6" t="s">
        <v>121</v>
      </c>
      <c r="E132" s="6" t="s">
        <v>121</v>
      </c>
      <c r="F132" s="6" t="s">
        <v>121</v>
      </c>
      <c r="G132" s="6" t="s">
        <v>121</v>
      </c>
      <c r="H132" s="6" t="s">
        <v>121</v>
      </c>
      <c r="I132" s="6" t="s">
        <v>121</v>
      </c>
      <c r="J132" s="6" t="s">
        <v>121</v>
      </c>
      <c r="K132" s="6" t="s">
        <v>121</v>
      </c>
    </row>
    <row r="133" spans="3:11">
      <c r="C133" s="6" t="s">
        <v>121</v>
      </c>
      <c r="D133" s="6" t="s">
        <v>121</v>
      </c>
      <c r="E133" s="6" t="s">
        <v>121</v>
      </c>
      <c r="F133" s="6" t="s">
        <v>121</v>
      </c>
      <c r="G133" s="6" t="s">
        <v>121</v>
      </c>
      <c r="H133" s="6" t="s">
        <v>121</v>
      </c>
      <c r="I133" s="6" t="s">
        <v>121</v>
      </c>
      <c r="J133" s="6" t="s">
        <v>121</v>
      </c>
      <c r="K133" s="6" t="s">
        <v>121</v>
      </c>
    </row>
    <row r="134" spans="3:11">
      <c r="C134" s="6" t="s">
        <v>121</v>
      </c>
      <c r="D134" s="6" t="s">
        <v>121</v>
      </c>
      <c r="E134" s="6" t="s">
        <v>121</v>
      </c>
      <c r="F134" s="6" t="s">
        <v>121</v>
      </c>
      <c r="G134" s="6" t="s">
        <v>121</v>
      </c>
      <c r="H134" s="6" t="s">
        <v>121</v>
      </c>
      <c r="I134" s="6" t="s">
        <v>121</v>
      </c>
      <c r="J134" s="6" t="s">
        <v>121</v>
      </c>
      <c r="K134" s="6" t="s">
        <v>121</v>
      </c>
    </row>
    <row r="135" spans="3:11">
      <c r="C135" s="6" t="s">
        <v>121</v>
      </c>
      <c r="D135" s="6" t="s">
        <v>121</v>
      </c>
      <c r="E135" s="6" t="s">
        <v>121</v>
      </c>
      <c r="F135" s="6" t="s">
        <v>121</v>
      </c>
      <c r="G135" s="6" t="s">
        <v>121</v>
      </c>
      <c r="H135" s="6" t="s">
        <v>121</v>
      </c>
      <c r="I135" s="6" t="s">
        <v>121</v>
      </c>
      <c r="J135" s="6" t="s">
        <v>121</v>
      </c>
      <c r="K135" s="6" t="s">
        <v>121</v>
      </c>
    </row>
    <row r="136" spans="3:11">
      <c r="C136" s="6" t="s">
        <v>121</v>
      </c>
      <c r="D136" s="6" t="s">
        <v>121</v>
      </c>
      <c r="E136" s="6" t="s">
        <v>121</v>
      </c>
      <c r="F136" s="6" t="s">
        <v>121</v>
      </c>
      <c r="G136" s="6" t="s">
        <v>121</v>
      </c>
      <c r="H136" s="6" t="s">
        <v>121</v>
      </c>
      <c r="I136" s="6" t="s">
        <v>121</v>
      </c>
      <c r="J136" s="6" t="s">
        <v>121</v>
      </c>
      <c r="K136" s="6" t="s">
        <v>121</v>
      </c>
    </row>
    <row r="137" spans="3:11">
      <c r="C137" s="6" t="s">
        <v>121</v>
      </c>
      <c r="D137" s="6" t="s">
        <v>121</v>
      </c>
      <c r="E137" s="6" t="s">
        <v>121</v>
      </c>
      <c r="F137" s="6" t="s">
        <v>121</v>
      </c>
      <c r="G137" s="6" t="s">
        <v>121</v>
      </c>
      <c r="H137" s="6" t="s">
        <v>121</v>
      </c>
      <c r="I137" s="6" t="s">
        <v>121</v>
      </c>
      <c r="J137" s="6" t="s">
        <v>121</v>
      </c>
      <c r="K137" s="6" t="s">
        <v>121</v>
      </c>
    </row>
    <row r="138" spans="3:11">
      <c r="C138" s="6" t="s">
        <v>121</v>
      </c>
      <c r="D138" s="6" t="s">
        <v>121</v>
      </c>
      <c r="E138" s="6" t="s">
        <v>121</v>
      </c>
      <c r="F138" s="6" t="s">
        <v>121</v>
      </c>
      <c r="G138" s="6" t="s">
        <v>121</v>
      </c>
      <c r="H138" s="6" t="s">
        <v>121</v>
      </c>
      <c r="I138" s="6" t="s">
        <v>121</v>
      </c>
      <c r="J138" s="6" t="s">
        <v>121</v>
      </c>
      <c r="K138" s="6" t="s">
        <v>121</v>
      </c>
    </row>
    <row r="139" spans="3:11">
      <c r="C139" s="6" t="s">
        <v>121</v>
      </c>
      <c r="D139" s="6" t="s">
        <v>121</v>
      </c>
      <c r="E139" s="6" t="s">
        <v>121</v>
      </c>
      <c r="F139" s="6" t="s">
        <v>121</v>
      </c>
      <c r="G139" s="6" t="s">
        <v>121</v>
      </c>
      <c r="H139" s="6" t="s">
        <v>121</v>
      </c>
      <c r="I139" s="6" t="s">
        <v>121</v>
      </c>
      <c r="J139" s="6" t="s">
        <v>121</v>
      </c>
      <c r="K139" s="6" t="s">
        <v>121</v>
      </c>
    </row>
    <row r="140" spans="3:11">
      <c r="C140" s="6" t="s">
        <v>121</v>
      </c>
      <c r="D140" s="6" t="s">
        <v>121</v>
      </c>
      <c r="E140" s="6" t="s">
        <v>121</v>
      </c>
      <c r="F140" s="6" t="s">
        <v>121</v>
      </c>
      <c r="G140" s="6" t="s">
        <v>121</v>
      </c>
      <c r="H140" s="6" t="s">
        <v>121</v>
      </c>
      <c r="I140" s="6" t="s">
        <v>121</v>
      </c>
      <c r="J140" s="6" t="s">
        <v>121</v>
      </c>
      <c r="K140" s="6" t="s">
        <v>121</v>
      </c>
    </row>
    <row r="141" spans="3:11">
      <c r="C141" s="6" t="s">
        <v>121</v>
      </c>
      <c r="D141" s="6" t="s">
        <v>121</v>
      </c>
      <c r="E141" s="6" t="s">
        <v>121</v>
      </c>
      <c r="F141" s="6" t="s">
        <v>121</v>
      </c>
      <c r="G141" s="6" t="s">
        <v>121</v>
      </c>
      <c r="H141" s="6" t="s">
        <v>121</v>
      </c>
      <c r="I141" s="6" t="s">
        <v>121</v>
      </c>
      <c r="J141" s="6" t="s">
        <v>121</v>
      </c>
      <c r="K141" s="6" t="s">
        <v>121</v>
      </c>
    </row>
    <row r="142" spans="3:11">
      <c r="C142" s="6" t="s">
        <v>121</v>
      </c>
      <c r="D142" s="6" t="s">
        <v>121</v>
      </c>
      <c r="E142" s="6" t="s">
        <v>121</v>
      </c>
      <c r="F142" s="6" t="s">
        <v>121</v>
      </c>
      <c r="G142" s="6" t="s">
        <v>121</v>
      </c>
      <c r="H142" s="6" t="s">
        <v>121</v>
      </c>
      <c r="I142" s="6" t="s">
        <v>121</v>
      </c>
      <c r="J142" s="6" t="s">
        <v>121</v>
      </c>
      <c r="K142" s="6" t="s">
        <v>121</v>
      </c>
    </row>
    <row r="143" spans="3:11">
      <c r="C143" s="6" t="s">
        <v>121</v>
      </c>
      <c r="D143" s="6" t="s">
        <v>121</v>
      </c>
      <c r="E143" s="6" t="s">
        <v>121</v>
      </c>
      <c r="F143" s="6" t="s">
        <v>121</v>
      </c>
      <c r="G143" s="6" t="s">
        <v>121</v>
      </c>
      <c r="H143" s="6" t="s">
        <v>121</v>
      </c>
      <c r="I143" s="6" t="s">
        <v>121</v>
      </c>
      <c r="J143" s="6" t="s">
        <v>121</v>
      </c>
      <c r="K143" s="6" t="s">
        <v>121</v>
      </c>
    </row>
    <row r="144" spans="3:11">
      <c r="C144" s="6" t="s">
        <v>121</v>
      </c>
      <c r="D144" s="6" t="s">
        <v>121</v>
      </c>
      <c r="E144" s="6" t="s">
        <v>121</v>
      </c>
      <c r="F144" s="6" t="s">
        <v>121</v>
      </c>
      <c r="G144" s="6" t="s">
        <v>121</v>
      </c>
      <c r="H144" s="6" t="s">
        <v>121</v>
      </c>
      <c r="I144" s="6" t="s">
        <v>121</v>
      </c>
      <c r="J144" s="6" t="s">
        <v>121</v>
      </c>
      <c r="K144" s="6" t="s">
        <v>121</v>
      </c>
    </row>
    <row r="145" spans="3:11">
      <c r="C145" s="6" t="s">
        <v>121</v>
      </c>
      <c r="D145" s="6" t="s">
        <v>121</v>
      </c>
      <c r="E145" s="6" t="s">
        <v>121</v>
      </c>
      <c r="F145" s="6" t="s">
        <v>121</v>
      </c>
      <c r="G145" s="6" t="s">
        <v>121</v>
      </c>
      <c r="H145" s="6" t="s">
        <v>121</v>
      </c>
      <c r="I145" s="6" t="s">
        <v>121</v>
      </c>
      <c r="J145" s="6" t="s">
        <v>121</v>
      </c>
      <c r="K145" s="6" t="s">
        <v>121</v>
      </c>
    </row>
    <row r="146" spans="3:11">
      <c r="C146" s="6" t="s">
        <v>121</v>
      </c>
      <c r="D146" s="6" t="s">
        <v>121</v>
      </c>
      <c r="E146" s="6" t="s">
        <v>121</v>
      </c>
      <c r="F146" s="6" t="s">
        <v>121</v>
      </c>
      <c r="G146" s="6" t="s">
        <v>121</v>
      </c>
      <c r="H146" s="6" t="s">
        <v>121</v>
      </c>
      <c r="I146" s="6" t="s">
        <v>121</v>
      </c>
      <c r="J146" s="6" t="s">
        <v>121</v>
      </c>
      <c r="K146" s="6" t="s">
        <v>121</v>
      </c>
    </row>
    <row r="147" spans="3:11">
      <c r="C147" s="6" t="s">
        <v>121</v>
      </c>
      <c r="D147" s="6" t="s">
        <v>121</v>
      </c>
      <c r="E147" s="6" t="s">
        <v>121</v>
      </c>
      <c r="F147" s="6" t="s">
        <v>121</v>
      </c>
      <c r="G147" s="6" t="s">
        <v>121</v>
      </c>
      <c r="H147" s="6" t="s">
        <v>121</v>
      </c>
      <c r="I147" s="6" t="s">
        <v>121</v>
      </c>
      <c r="J147" s="6" t="s">
        <v>121</v>
      </c>
      <c r="K147" s="6" t="s">
        <v>121</v>
      </c>
    </row>
    <row r="148" spans="3:11">
      <c r="C148" s="6" t="s">
        <v>121</v>
      </c>
      <c r="D148" s="6" t="s">
        <v>121</v>
      </c>
      <c r="E148" s="6" t="s">
        <v>121</v>
      </c>
      <c r="F148" s="6" t="s">
        <v>121</v>
      </c>
      <c r="G148" s="6" t="s">
        <v>121</v>
      </c>
      <c r="H148" s="6" t="s">
        <v>121</v>
      </c>
      <c r="I148" s="6" t="s">
        <v>121</v>
      </c>
      <c r="J148" s="6" t="s">
        <v>121</v>
      </c>
      <c r="K148" s="6" t="s">
        <v>121</v>
      </c>
    </row>
    <row r="149" spans="3:11">
      <c r="C149" s="6" t="s">
        <v>121</v>
      </c>
      <c r="D149" s="6" t="s">
        <v>121</v>
      </c>
      <c r="E149" s="6" t="s">
        <v>121</v>
      </c>
      <c r="F149" s="6" t="s">
        <v>121</v>
      </c>
      <c r="G149" s="6" t="s">
        <v>121</v>
      </c>
      <c r="H149" s="6" t="s">
        <v>121</v>
      </c>
      <c r="I149" s="6" t="s">
        <v>121</v>
      </c>
      <c r="J149" s="6" t="s">
        <v>121</v>
      </c>
      <c r="K149" s="6" t="s">
        <v>121</v>
      </c>
    </row>
    <row r="150" spans="3:11">
      <c r="C150" s="6" t="s">
        <v>121</v>
      </c>
      <c r="D150" s="6" t="s">
        <v>121</v>
      </c>
      <c r="E150" s="6" t="s">
        <v>121</v>
      </c>
      <c r="F150" s="6" t="s">
        <v>121</v>
      </c>
      <c r="G150" s="6" t="s">
        <v>121</v>
      </c>
      <c r="H150" s="6" t="s">
        <v>121</v>
      </c>
      <c r="I150" s="6" t="s">
        <v>121</v>
      </c>
      <c r="J150" s="6" t="s">
        <v>121</v>
      </c>
      <c r="K150" s="6" t="s">
        <v>121</v>
      </c>
    </row>
    <row r="151" spans="3:11">
      <c r="C151" s="6" t="s">
        <v>121</v>
      </c>
      <c r="D151" s="6" t="s">
        <v>121</v>
      </c>
      <c r="E151" s="6" t="s">
        <v>121</v>
      </c>
      <c r="F151" s="6" t="s">
        <v>121</v>
      </c>
      <c r="G151" s="6" t="s">
        <v>121</v>
      </c>
      <c r="H151" s="6" t="s">
        <v>121</v>
      </c>
      <c r="I151" s="6" t="s">
        <v>121</v>
      </c>
      <c r="J151" s="6" t="s">
        <v>121</v>
      </c>
      <c r="K151" s="6" t="s">
        <v>121</v>
      </c>
    </row>
    <row r="152" spans="3:11">
      <c r="C152" s="6" t="s">
        <v>121</v>
      </c>
      <c r="D152" s="6" t="s">
        <v>121</v>
      </c>
      <c r="E152" s="6" t="s">
        <v>121</v>
      </c>
      <c r="F152" s="6" t="s">
        <v>121</v>
      </c>
      <c r="G152" s="6" t="s">
        <v>121</v>
      </c>
      <c r="H152" s="6" t="s">
        <v>121</v>
      </c>
      <c r="I152" s="6" t="s">
        <v>121</v>
      </c>
      <c r="J152" s="6" t="s">
        <v>121</v>
      </c>
      <c r="K152" s="6" t="s">
        <v>121</v>
      </c>
    </row>
    <row r="153" spans="3:11">
      <c r="C153" s="6" t="s">
        <v>121</v>
      </c>
      <c r="D153" s="6" t="s">
        <v>121</v>
      </c>
      <c r="E153" s="6" t="s">
        <v>121</v>
      </c>
      <c r="F153" s="6" t="s">
        <v>121</v>
      </c>
      <c r="G153" s="6" t="s">
        <v>121</v>
      </c>
      <c r="H153" s="6" t="s">
        <v>121</v>
      </c>
      <c r="I153" s="6" t="s">
        <v>121</v>
      </c>
      <c r="J153" s="6" t="s">
        <v>121</v>
      </c>
      <c r="K153" s="6" t="s">
        <v>121</v>
      </c>
    </row>
    <row r="154" spans="3:11">
      <c r="C154" s="6" t="s">
        <v>121</v>
      </c>
      <c r="D154" s="6" t="s">
        <v>121</v>
      </c>
      <c r="E154" s="6" t="s">
        <v>121</v>
      </c>
      <c r="F154" s="6" t="s">
        <v>121</v>
      </c>
      <c r="G154" s="6" t="s">
        <v>121</v>
      </c>
      <c r="H154" s="6" t="s">
        <v>121</v>
      </c>
      <c r="I154" s="6" t="s">
        <v>121</v>
      </c>
      <c r="J154" s="6" t="s">
        <v>121</v>
      </c>
      <c r="K154" s="6" t="s">
        <v>121</v>
      </c>
    </row>
    <row r="155" spans="3:11">
      <c r="C155" s="6" t="s">
        <v>121</v>
      </c>
      <c r="D155" s="6" t="s">
        <v>121</v>
      </c>
      <c r="E155" s="6" t="s">
        <v>121</v>
      </c>
      <c r="F155" s="6" t="s">
        <v>121</v>
      </c>
      <c r="G155" s="6" t="s">
        <v>121</v>
      </c>
      <c r="H155" s="6" t="s">
        <v>121</v>
      </c>
      <c r="I155" s="6" t="s">
        <v>121</v>
      </c>
      <c r="J155" s="6" t="s">
        <v>121</v>
      </c>
      <c r="K155" s="6" t="s">
        <v>121</v>
      </c>
    </row>
    <row r="156" spans="3:11">
      <c r="C156" s="6" t="s">
        <v>121</v>
      </c>
      <c r="D156" s="6" t="s">
        <v>121</v>
      </c>
      <c r="E156" s="6" t="s">
        <v>121</v>
      </c>
      <c r="F156" s="6" t="s">
        <v>121</v>
      </c>
      <c r="G156" s="6" t="s">
        <v>121</v>
      </c>
      <c r="H156" s="6" t="s">
        <v>121</v>
      </c>
      <c r="I156" s="6" t="s">
        <v>121</v>
      </c>
      <c r="J156" s="6" t="s">
        <v>121</v>
      </c>
      <c r="K156" s="6" t="s">
        <v>121</v>
      </c>
    </row>
    <row r="157" spans="3:11">
      <c r="C157" s="6" t="s">
        <v>121</v>
      </c>
      <c r="D157" s="6" t="s">
        <v>121</v>
      </c>
      <c r="E157" s="6" t="s">
        <v>121</v>
      </c>
      <c r="F157" s="6" t="s">
        <v>121</v>
      </c>
      <c r="G157" s="6" t="s">
        <v>121</v>
      </c>
      <c r="H157" s="6" t="s">
        <v>121</v>
      </c>
      <c r="I157" s="6" t="s">
        <v>121</v>
      </c>
      <c r="J157" s="6" t="s">
        <v>121</v>
      </c>
      <c r="K157" s="6" t="s">
        <v>121</v>
      </c>
    </row>
    <row r="158" spans="3:11">
      <c r="C158" s="6" t="s">
        <v>121</v>
      </c>
      <c r="D158" s="6" t="s">
        <v>121</v>
      </c>
      <c r="E158" s="6" t="s">
        <v>121</v>
      </c>
      <c r="F158" s="6" t="s">
        <v>121</v>
      </c>
      <c r="G158" s="6" t="s">
        <v>121</v>
      </c>
      <c r="H158" s="6" t="s">
        <v>121</v>
      </c>
      <c r="I158" s="6" t="s">
        <v>121</v>
      </c>
      <c r="J158" s="6" t="s">
        <v>121</v>
      </c>
      <c r="K158" s="6" t="s">
        <v>121</v>
      </c>
    </row>
    <row r="159" spans="3:11">
      <c r="C159" s="6" t="s">
        <v>121</v>
      </c>
      <c r="D159" s="6" t="s">
        <v>121</v>
      </c>
      <c r="E159" s="6" t="s">
        <v>121</v>
      </c>
      <c r="F159" s="6" t="s">
        <v>121</v>
      </c>
      <c r="G159" s="6" t="s">
        <v>121</v>
      </c>
      <c r="H159" s="6" t="s">
        <v>121</v>
      </c>
      <c r="I159" s="6" t="s">
        <v>121</v>
      </c>
      <c r="J159" s="6" t="s">
        <v>121</v>
      </c>
      <c r="K159" s="6" t="s">
        <v>121</v>
      </c>
    </row>
    <row r="160" spans="3:11">
      <c r="C160" s="6" t="s">
        <v>121</v>
      </c>
      <c r="D160" s="6" t="s">
        <v>121</v>
      </c>
      <c r="E160" s="6" t="s">
        <v>121</v>
      </c>
      <c r="F160" s="6" t="s">
        <v>121</v>
      </c>
      <c r="G160" s="6" t="s">
        <v>121</v>
      </c>
      <c r="H160" s="6" t="s">
        <v>121</v>
      </c>
      <c r="I160" s="6" t="s">
        <v>121</v>
      </c>
      <c r="J160" s="6" t="s">
        <v>121</v>
      </c>
      <c r="K160" s="6" t="s">
        <v>121</v>
      </c>
    </row>
    <row r="161" spans="3:11">
      <c r="C161" s="6" t="s">
        <v>121</v>
      </c>
      <c r="D161" s="6" t="s">
        <v>121</v>
      </c>
      <c r="E161" s="6" t="s">
        <v>121</v>
      </c>
      <c r="F161" s="6" t="s">
        <v>121</v>
      </c>
      <c r="G161" s="6" t="s">
        <v>121</v>
      </c>
      <c r="H161" s="6" t="s">
        <v>121</v>
      </c>
      <c r="I161" s="6" t="s">
        <v>121</v>
      </c>
      <c r="J161" s="6" t="s">
        <v>121</v>
      </c>
      <c r="K161" s="6" t="s">
        <v>121</v>
      </c>
    </row>
    <row r="162" spans="3:11">
      <c r="C162" s="6" t="s">
        <v>121</v>
      </c>
      <c r="D162" s="6" t="s">
        <v>121</v>
      </c>
      <c r="E162" s="6" t="s">
        <v>121</v>
      </c>
      <c r="F162" s="6" t="s">
        <v>121</v>
      </c>
      <c r="G162" s="6" t="s">
        <v>121</v>
      </c>
      <c r="H162" s="6" t="s">
        <v>121</v>
      </c>
      <c r="I162" s="6" t="s">
        <v>121</v>
      </c>
      <c r="J162" s="6" t="s">
        <v>121</v>
      </c>
      <c r="K162" s="6" t="s">
        <v>121</v>
      </c>
    </row>
    <row r="163" spans="3:11">
      <c r="C163" s="6" t="s">
        <v>121</v>
      </c>
      <c r="D163" s="6" t="s">
        <v>121</v>
      </c>
      <c r="E163" s="6" t="s">
        <v>121</v>
      </c>
      <c r="F163" s="6" t="s">
        <v>121</v>
      </c>
      <c r="G163" s="6" t="s">
        <v>121</v>
      </c>
      <c r="H163" s="6" t="s">
        <v>121</v>
      </c>
      <c r="I163" s="6" t="s">
        <v>121</v>
      </c>
      <c r="J163" s="6" t="s">
        <v>121</v>
      </c>
      <c r="K163" s="6" t="s">
        <v>121</v>
      </c>
    </row>
    <row r="164" spans="3:11">
      <c r="C164" s="6" t="s">
        <v>121</v>
      </c>
      <c r="D164" s="6" t="s">
        <v>121</v>
      </c>
      <c r="E164" s="6" t="s">
        <v>121</v>
      </c>
      <c r="F164" s="6" t="s">
        <v>121</v>
      </c>
      <c r="G164" s="6" t="s">
        <v>121</v>
      </c>
      <c r="H164" s="6" t="s">
        <v>121</v>
      </c>
      <c r="I164" s="6" t="s">
        <v>121</v>
      </c>
      <c r="J164" s="6" t="s">
        <v>121</v>
      </c>
      <c r="K164" s="6" t="s">
        <v>121</v>
      </c>
    </row>
    <row r="165" spans="3:11">
      <c r="C165" s="6" t="s">
        <v>121</v>
      </c>
      <c r="D165" s="6" t="s">
        <v>121</v>
      </c>
      <c r="E165" s="6" t="s">
        <v>121</v>
      </c>
      <c r="F165" s="6" t="s">
        <v>121</v>
      </c>
      <c r="G165" s="6" t="s">
        <v>121</v>
      </c>
      <c r="H165" s="6" t="s">
        <v>121</v>
      </c>
      <c r="I165" s="6" t="s">
        <v>121</v>
      </c>
      <c r="J165" s="6" t="s">
        <v>121</v>
      </c>
      <c r="K165" s="6" t="s">
        <v>121</v>
      </c>
    </row>
    <row r="166" spans="3:11">
      <c r="C166" s="6" t="s">
        <v>121</v>
      </c>
      <c r="D166" s="6" t="s">
        <v>121</v>
      </c>
      <c r="E166" s="6" t="s">
        <v>121</v>
      </c>
      <c r="F166" s="6" t="s">
        <v>121</v>
      </c>
      <c r="G166" s="6" t="s">
        <v>121</v>
      </c>
      <c r="H166" s="6" t="s">
        <v>121</v>
      </c>
      <c r="I166" s="6" t="s">
        <v>121</v>
      </c>
      <c r="J166" s="6" t="s">
        <v>121</v>
      </c>
      <c r="K166" s="6" t="s">
        <v>121</v>
      </c>
    </row>
    <row r="167" spans="3:11">
      <c r="C167" s="6" t="s">
        <v>121</v>
      </c>
      <c r="D167" s="6" t="s">
        <v>121</v>
      </c>
      <c r="E167" s="6" t="s">
        <v>121</v>
      </c>
      <c r="F167" s="6" t="s">
        <v>121</v>
      </c>
      <c r="G167" s="6" t="s">
        <v>121</v>
      </c>
      <c r="H167" s="6" t="s">
        <v>121</v>
      </c>
      <c r="I167" s="6" t="s">
        <v>121</v>
      </c>
      <c r="J167" s="6" t="s">
        <v>121</v>
      </c>
      <c r="K167" s="6" t="s">
        <v>121</v>
      </c>
    </row>
  </sheetData>
  <conditionalFormatting sqref="A2:P102">
    <cfRule type="expression" dxfId="69" priority="1">
      <formula>ISNUMBER(SEARCH("text",$B2))</formula>
    </cfRule>
    <cfRule type="expression" dxfId="68" priority="2">
      <formula>ISNUMBER(SEARCH("title",$B2))</formula>
    </cfRule>
    <cfRule type="expression" dxfId="67" priority="3">
      <formula>ISNUMBER(SEARCH("hero",$B2))</formula>
    </cfRule>
    <cfRule type="expression" dxfId="66" priority="4">
      <formula>ISNUMBER(SEARCH("card",$B2))</formula>
    </cfRule>
    <cfRule type="expression" dxfId="65" priority="5">
      <formula>ISNUMBER(SEARCH("carousel",$B2))</formula>
    </cfRule>
    <cfRule type="expression" dxfId="64" priority="6">
      <formula>ISNUMBER(SEARCH("video",$B2))</formula>
    </cfRule>
    <cfRule type="expression" dxfId="63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7"/>
  <sheetViews>
    <sheetView workbookViewId="0">
      <pane ySplit="1" topLeftCell="A7" activePane="bottomLeft" state="frozen"/>
      <selection pane="bottomLeft" activeCell="E2" sqref="E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123</v>
      </c>
      <c r="D3" s="6" t="s">
        <v>123</v>
      </c>
      <c r="E3" s="6" t="s">
        <v>121</v>
      </c>
      <c r="F3" s="6" t="s">
        <v>121</v>
      </c>
      <c r="G3" s="6" t="s">
        <v>121</v>
      </c>
      <c r="H3" s="6" t="s">
        <v>121</v>
      </c>
      <c r="I3" s="6" t="s">
        <v>121</v>
      </c>
      <c r="J3" s="6" t="s">
        <v>121</v>
      </c>
      <c r="K3" s="6" t="s">
        <v>121</v>
      </c>
      <c r="L3" s="6"/>
      <c r="M3" s="6"/>
      <c r="N3" s="6"/>
      <c r="O3" s="6"/>
    </row>
    <row r="4" spans="1:16" s="6" customFormat="1">
      <c r="A4" s="6">
        <v>4</v>
      </c>
      <c r="B4" s="6" t="s">
        <v>63</v>
      </c>
    </row>
    <row r="5" spans="1:16">
      <c r="A5" s="6">
        <v>43</v>
      </c>
      <c r="B5" s="6" t="s">
        <v>27</v>
      </c>
      <c r="C5" t="s">
        <v>124</v>
      </c>
      <c r="D5" t="s">
        <v>124</v>
      </c>
      <c r="E5" s="6" t="s">
        <v>121</v>
      </c>
      <c r="F5" s="6" t="s">
        <v>121</v>
      </c>
      <c r="G5" s="6" t="s">
        <v>121</v>
      </c>
      <c r="H5" s="6" t="s">
        <v>121</v>
      </c>
      <c r="I5" s="6" t="s">
        <v>121</v>
      </c>
      <c r="J5" s="6" t="s">
        <v>121</v>
      </c>
      <c r="K5" s="6" t="s">
        <v>121</v>
      </c>
      <c r="L5" s="6"/>
      <c r="M5" s="6"/>
      <c r="N5" s="6"/>
      <c r="O5" s="6"/>
    </row>
    <row r="6" spans="1:16">
      <c r="A6" s="6">
        <v>44</v>
      </c>
      <c r="B6" s="6" t="s">
        <v>66</v>
      </c>
      <c r="C6" t="s">
        <v>125</v>
      </c>
      <c r="D6" t="s">
        <v>125</v>
      </c>
      <c r="E6" s="6" t="s">
        <v>121</v>
      </c>
      <c r="F6" s="6" t="s">
        <v>121</v>
      </c>
      <c r="G6" s="6" t="s">
        <v>121</v>
      </c>
      <c r="H6" s="6" t="s">
        <v>121</v>
      </c>
      <c r="I6" s="6" t="s">
        <v>121</v>
      </c>
      <c r="J6" s="6" t="s">
        <v>121</v>
      </c>
      <c r="K6" s="6" t="s">
        <v>121</v>
      </c>
      <c r="L6" s="6"/>
      <c r="M6" s="6"/>
      <c r="N6" s="6"/>
      <c r="O6" s="6"/>
    </row>
    <row r="7" spans="1:16">
      <c r="A7" s="6">
        <v>45</v>
      </c>
      <c r="B7" s="6" t="s">
        <v>66</v>
      </c>
      <c r="C7" t="s">
        <v>126</v>
      </c>
      <c r="D7" t="s">
        <v>126</v>
      </c>
      <c r="E7" s="6" t="s">
        <v>121</v>
      </c>
      <c r="F7" s="6" t="s">
        <v>121</v>
      </c>
      <c r="G7" s="6" t="s">
        <v>121</v>
      </c>
      <c r="H7" s="6" t="s">
        <v>121</v>
      </c>
      <c r="I7" s="6" t="s">
        <v>121</v>
      </c>
      <c r="J7" s="6" t="s">
        <v>121</v>
      </c>
      <c r="K7" s="6" t="s">
        <v>121</v>
      </c>
      <c r="L7" s="6"/>
      <c r="M7" s="6"/>
      <c r="N7" s="6"/>
      <c r="O7" s="6"/>
    </row>
    <row r="8" spans="1:16">
      <c r="A8" s="6">
        <v>46</v>
      </c>
      <c r="B8" s="6" t="s">
        <v>66</v>
      </c>
      <c r="C8" t="s">
        <v>127</v>
      </c>
      <c r="D8" t="s">
        <v>127</v>
      </c>
      <c r="E8" s="6" t="s">
        <v>121</v>
      </c>
      <c r="F8" s="6" t="s">
        <v>121</v>
      </c>
      <c r="G8" s="6" t="s">
        <v>121</v>
      </c>
      <c r="H8" s="6" t="s">
        <v>121</v>
      </c>
      <c r="I8" s="6" t="s">
        <v>121</v>
      </c>
      <c r="J8" s="6" t="s">
        <v>121</v>
      </c>
      <c r="K8" s="6" t="s">
        <v>121</v>
      </c>
      <c r="L8" s="6"/>
      <c r="M8" s="6"/>
      <c r="N8" s="6"/>
      <c r="O8" s="6"/>
    </row>
    <row r="9" spans="1:16">
      <c r="A9" s="6">
        <v>47</v>
      </c>
      <c r="B9" s="6" t="s">
        <v>27</v>
      </c>
      <c r="C9" t="s">
        <v>131</v>
      </c>
      <c r="D9" t="s">
        <v>131</v>
      </c>
      <c r="E9" s="6" t="s">
        <v>121</v>
      </c>
      <c r="F9" s="6" t="s">
        <v>121</v>
      </c>
      <c r="G9" s="6" t="s">
        <v>121</v>
      </c>
      <c r="H9" s="6" t="s">
        <v>121</v>
      </c>
      <c r="I9" s="6" t="s">
        <v>121</v>
      </c>
      <c r="J9" s="6" t="s">
        <v>121</v>
      </c>
      <c r="K9" s="6" t="s">
        <v>121</v>
      </c>
      <c r="L9" s="6"/>
      <c r="M9" s="6"/>
      <c r="N9" s="6"/>
      <c r="O9" s="6"/>
    </row>
    <row r="10" spans="1:16">
      <c r="A10" s="6">
        <v>48</v>
      </c>
      <c r="B10" s="6" t="s">
        <v>66</v>
      </c>
      <c r="C10" t="s">
        <v>128</v>
      </c>
      <c r="D10" t="s">
        <v>128</v>
      </c>
      <c r="E10" s="6" t="s">
        <v>121</v>
      </c>
      <c r="F10" s="6" t="s">
        <v>121</v>
      </c>
      <c r="G10" s="6" t="s">
        <v>121</v>
      </c>
      <c r="H10" s="6" t="s">
        <v>121</v>
      </c>
      <c r="I10" s="6" t="s">
        <v>121</v>
      </c>
      <c r="J10" s="6" t="s">
        <v>121</v>
      </c>
      <c r="K10" s="6" t="s">
        <v>121</v>
      </c>
      <c r="L10" s="6"/>
      <c r="M10" s="6"/>
      <c r="N10" s="6"/>
      <c r="O10" s="6"/>
    </row>
    <row r="11" spans="1:16">
      <c r="A11" s="6">
        <v>49</v>
      </c>
      <c r="B11" s="6" t="s">
        <v>66</v>
      </c>
      <c r="C11" t="s">
        <v>129</v>
      </c>
      <c r="D11" t="s">
        <v>129</v>
      </c>
      <c r="E11" s="6" t="s">
        <v>121</v>
      </c>
      <c r="F11" s="6" t="s">
        <v>121</v>
      </c>
      <c r="G11" s="6" t="s">
        <v>121</v>
      </c>
      <c r="H11" s="6" t="s">
        <v>121</v>
      </c>
      <c r="I11" s="6" t="s">
        <v>121</v>
      </c>
      <c r="J11" s="6" t="s">
        <v>121</v>
      </c>
      <c r="K11" s="6" t="s">
        <v>121</v>
      </c>
      <c r="L11" s="6"/>
      <c r="M11" s="6"/>
      <c r="N11" s="6"/>
      <c r="O11" s="6"/>
    </row>
    <row r="12" spans="1:16">
      <c r="A12" s="6">
        <v>50</v>
      </c>
      <c r="B12" s="6" t="s">
        <v>66</v>
      </c>
      <c r="C12" t="s">
        <v>130</v>
      </c>
      <c r="D12" t="s">
        <v>130</v>
      </c>
      <c r="E12" s="6" t="s">
        <v>121</v>
      </c>
      <c r="F12" s="6" t="s">
        <v>121</v>
      </c>
      <c r="G12" s="6" t="s">
        <v>121</v>
      </c>
      <c r="H12" s="6" t="s">
        <v>121</v>
      </c>
      <c r="I12" s="6" t="s">
        <v>121</v>
      </c>
      <c r="J12" s="6" t="s">
        <v>121</v>
      </c>
      <c r="K12" s="6" t="s">
        <v>121</v>
      </c>
      <c r="L12" s="6"/>
      <c r="M12" s="6"/>
      <c r="N12" s="6"/>
      <c r="O12" s="6"/>
    </row>
    <row r="13" spans="1:16">
      <c r="A13" s="6">
        <v>51</v>
      </c>
      <c r="B13" s="6" t="s">
        <v>27</v>
      </c>
      <c r="C13" t="s">
        <v>132</v>
      </c>
      <c r="D13" t="s">
        <v>132</v>
      </c>
      <c r="E13" s="6" t="s">
        <v>121</v>
      </c>
      <c r="F13" s="6" t="s">
        <v>121</v>
      </c>
      <c r="G13" s="6" t="s">
        <v>121</v>
      </c>
      <c r="H13" s="6" t="s">
        <v>121</v>
      </c>
      <c r="I13" s="6" t="s">
        <v>121</v>
      </c>
      <c r="J13" s="6" t="s">
        <v>121</v>
      </c>
      <c r="K13" s="6" t="s">
        <v>121</v>
      </c>
      <c r="L13" s="6"/>
      <c r="M13" s="6"/>
      <c r="N13" s="6"/>
      <c r="O13" s="6"/>
    </row>
    <row r="14" spans="1:16">
      <c r="A14" s="6">
        <v>52</v>
      </c>
      <c r="B14" s="6" t="s">
        <v>66</v>
      </c>
      <c r="C14" t="s">
        <v>133</v>
      </c>
      <c r="D14" t="s">
        <v>133</v>
      </c>
      <c r="E14" s="6" t="s">
        <v>121</v>
      </c>
      <c r="F14" s="6" t="s">
        <v>121</v>
      </c>
      <c r="G14" s="6" t="s">
        <v>121</v>
      </c>
      <c r="H14" s="6" t="s">
        <v>121</v>
      </c>
      <c r="I14" s="6" t="s">
        <v>121</v>
      </c>
      <c r="J14" s="6" t="s">
        <v>121</v>
      </c>
      <c r="K14" s="6" t="s">
        <v>121</v>
      </c>
      <c r="L14" s="6"/>
      <c r="M14" s="6"/>
      <c r="N14" s="6"/>
      <c r="O14" s="6"/>
    </row>
    <row r="15" spans="1:16">
      <c r="A15" s="6">
        <v>53</v>
      </c>
      <c r="B15" s="6" t="s">
        <v>66</v>
      </c>
      <c r="C15" t="s">
        <v>134</v>
      </c>
      <c r="D15" t="s">
        <v>134</v>
      </c>
      <c r="E15" s="6" t="s">
        <v>121</v>
      </c>
      <c r="F15" s="6" t="s">
        <v>121</v>
      </c>
      <c r="G15" s="6" t="s">
        <v>121</v>
      </c>
      <c r="H15" s="6" t="s">
        <v>121</v>
      </c>
      <c r="I15" s="6" t="s">
        <v>121</v>
      </c>
      <c r="J15" s="6" t="s">
        <v>121</v>
      </c>
      <c r="K15" s="6" t="s">
        <v>121</v>
      </c>
      <c r="L15" s="6"/>
      <c r="M15" s="6"/>
      <c r="N15" s="6"/>
      <c r="O15" s="6"/>
    </row>
    <row r="16" spans="1:16">
      <c r="A16" s="6">
        <v>54</v>
      </c>
      <c r="B16" s="6" t="s">
        <v>66</v>
      </c>
      <c r="C16" t="s">
        <v>135</v>
      </c>
      <c r="D16" t="s">
        <v>135</v>
      </c>
      <c r="E16" s="6" t="s">
        <v>121</v>
      </c>
      <c r="F16" s="6" t="s">
        <v>121</v>
      </c>
      <c r="G16" s="6" t="s">
        <v>121</v>
      </c>
      <c r="H16" s="6" t="s">
        <v>121</v>
      </c>
      <c r="I16" s="6" t="s">
        <v>121</v>
      </c>
      <c r="J16" s="6" t="s">
        <v>121</v>
      </c>
      <c r="K16" s="6" t="s">
        <v>121</v>
      </c>
      <c r="L16" s="6"/>
      <c r="M16" s="6"/>
      <c r="N16" s="6"/>
      <c r="O16" s="6"/>
    </row>
    <row r="17" spans="1:15">
      <c r="A17" s="6">
        <v>55</v>
      </c>
      <c r="B17" s="6" t="s">
        <v>66</v>
      </c>
      <c r="C17" t="s">
        <v>136</v>
      </c>
      <c r="D17" t="s">
        <v>136</v>
      </c>
      <c r="E17" s="6" t="s">
        <v>121</v>
      </c>
      <c r="F17" s="6" t="s">
        <v>121</v>
      </c>
      <c r="G17" s="6" t="s">
        <v>121</v>
      </c>
      <c r="H17" s="6" t="s">
        <v>121</v>
      </c>
      <c r="I17" s="6" t="s">
        <v>121</v>
      </c>
      <c r="J17" s="6" t="s">
        <v>121</v>
      </c>
      <c r="K17" s="6" t="s">
        <v>121</v>
      </c>
      <c r="L17" s="6"/>
      <c r="M17" s="6"/>
      <c r="N17" s="6"/>
      <c r="O17" s="6"/>
    </row>
    <row r="18" spans="1:15">
      <c r="A18" s="6">
        <v>56</v>
      </c>
      <c r="B18" s="6" t="s">
        <v>27</v>
      </c>
      <c r="C18" t="s">
        <v>137</v>
      </c>
      <c r="D18" t="s">
        <v>137</v>
      </c>
      <c r="E18" s="6" t="s">
        <v>121</v>
      </c>
      <c r="F18" s="6" t="s">
        <v>121</v>
      </c>
      <c r="G18" s="6" t="s">
        <v>121</v>
      </c>
      <c r="H18" s="6" t="s">
        <v>121</v>
      </c>
      <c r="I18" s="6" t="s">
        <v>121</v>
      </c>
      <c r="J18" s="6" t="s">
        <v>121</v>
      </c>
      <c r="K18" s="6" t="s">
        <v>121</v>
      </c>
      <c r="L18" s="6"/>
      <c r="M18" s="6"/>
      <c r="N18" s="6"/>
      <c r="O18" s="6"/>
    </row>
    <row r="19" spans="1:15">
      <c r="A19" s="6">
        <v>57</v>
      </c>
      <c r="B19" s="6" t="s">
        <v>66</v>
      </c>
      <c r="C19" t="s">
        <v>138</v>
      </c>
      <c r="D19" t="s">
        <v>138</v>
      </c>
      <c r="E19" s="6" t="s">
        <v>121</v>
      </c>
      <c r="F19" s="6" t="s">
        <v>121</v>
      </c>
      <c r="G19" s="6" t="s">
        <v>121</v>
      </c>
      <c r="H19" s="6" t="s">
        <v>121</v>
      </c>
      <c r="I19" s="6" t="s">
        <v>121</v>
      </c>
      <c r="J19" s="6" t="s">
        <v>121</v>
      </c>
      <c r="K19" s="6" t="s">
        <v>121</v>
      </c>
      <c r="L19" s="6"/>
      <c r="M19" s="6"/>
      <c r="N19" s="6"/>
      <c r="O19" s="6"/>
    </row>
    <row r="20" spans="1:15">
      <c r="A20" s="6">
        <v>58</v>
      </c>
      <c r="B20" s="6" t="s">
        <v>66</v>
      </c>
      <c r="C20" t="s">
        <v>139</v>
      </c>
      <c r="D20" t="s">
        <v>139</v>
      </c>
      <c r="E20" s="6" t="s">
        <v>121</v>
      </c>
      <c r="F20" s="6" t="s">
        <v>121</v>
      </c>
      <c r="G20" s="6" t="s">
        <v>121</v>
      </c>
      <c r="H20" s="6" t="s">
        <v>121</v>
      </c>
      <c r="I20" s="6" t="s">
        <v>121</v>
      </c>
      <c r="J20" s="6" t="s">
        <v>121</v>
      </c>
      <c r="K20" s="6" t="s">
        <v>121</v>
      </c>
      <c r="L20" s="6"/>
      <c r="M20" s="6"/>
      <c r="N20" s="6"/>
      <c r="O20" s="6"/>
    </row>
    <row r="21" spans="1:15">
      <c r="A21" s="6">
        <v>59</v>
      </c>
      <c r="B21" s="6" t="s">
        <v>66</v>
      </c>
      <c r="C21" t="s">
        <v>140</v>
      </c>
      <c r="D21" t="s">
        <v>140</v>
      </c>
      <c r="E21" s="6" t="s">
        <v>121</v>
      </c>
      <c r="F21" s="6" t="s">
        <v>121</v>
      </c>
      <c r="G21" s="6" t="s">
        <v>121</v>
      </c>
      <c r="H21" s="6" t="s">
        <v>121</v>
      </c>
      <c r="I21" s="6" t="s">
        <v>121</v>
      </c>
      <c r="J21" s="6" t="s">
        <v>121</v>
      </c>
      <c r="K21" s="6" t="s">
        <v>121</v>
      </c>
      <c r="L21" s="6"/>
      <c r="M21" s="6"/>
      <c r="N21" s="6"/>
      <c r="O21" s="6"/>
    </row>
    <row r="22" spans="1:15">
      <c r="A22" s="6">
        <v>60</v>
      </c>
      <c r="B22" s="6" t="s">
        <v>27</v>
      </c>
      <c r="C22" t="s">
        <v>141</v>
      </c>
      <c r="D22" t="s">
        <v>141</v>
      </c>
      <c r="E22" s="6" t="s">
        <v>121</v>
      </c>
      <c r="F22" s="6" t="s">
        <v>121</v>
      </c>
      <c r="G22" s="6" t="s">
        <v>121</v>
      </c>
      <c r="H22" s="6" t="s">
        <v>121</v>
      </c>
      <c r="I22" s="6" t="s">
        <v>121</v>
      </c>
      <c r="J22" s="6" t="s">
        <v>121</v>
      </c>
      <c r="K22" s="6" t="s">
        <v>121</v>
      </c>
      <c r="L22" s="6"/>
      <c r="M22" s="6"/>
      <c r="N22" s="6"/>
      <c r="O22" s="6"/>
    </row>
    <row r="23" spans="1:15">
      <c r="A23" s="6">
        <v>61</v>
      </c>
      <c r="B23" s="6" t="s">
        <v>27</v>
      </c>
      <c r="C23" t="s">
        <v>142</v>
      </c>
      <c r="D23" t="s">
        <v>142</v>
      </c>
      <c r="E23" s="6" t="s">
        <v>121</v>
      </c>
      <c r="F23" s="6" t="s">
        <v>121</v>
      </c>
      <c r="G23" s="6" t="s">
        <v>121</v>
      </c>
      <c r="H23" s="6" t="s">
        <v>121</v>
      </c>
      <c r="I23" s="6" t="s">
        <v>121</v>
      </c>
      <c r="J23" s="6" t="s">
        <v>121</v>
      </c>
      <c r="K23" s="6" t="s">
        <v>121</v>
      </c>
      <c r="L23" s="6"/>
      <c r="M23" s="6"/>
      <c r="N23" s="6"/>
      <c r="O23" s="6"/>
    </row>
    <row r="24" spans="1:15">
      <c r="A24" s="6">
        <v>62</v>
      </c>
      <c r="B24" s="6" t="s">
        <v>66</v>
      </c>
      <c r="C24" t="s">
        <v>143</v>
      </c>
      <c r="D24" t="s">
        <v>143</v>
      </c>
      <c r="E24" s="6" t="s">
        <v>121</v>
      </c>
      <c r="F24" s="6" t="s">
        <v>121</v>
      </c>
      <c r="G24" s="6" t="s">
        <v>121</v>
      </c>
      <c r="H24" s="6" t="s">
        <v>121</v>
      </c>
      <c r="I24" s="6" t="s">
        <v>121</v>
      </c>
      <c r="J24" s="6" t="s">
        <v>121</v>
      </c>
      <c r="K24" s="6" t="s">
        <v>121</v>
      </c>
      <c r="L24" s="6"/>
      <c r="M24" s="6"/>
      <c r="N24" s="6"/>
      <c r="O24" s="6"/>
    </row>
    <row r="25" spans="1:15">
      <c r="A25" s="6">
        <v>63</v>
      </c>
      <c r="B25" s="6" t="s">
        <v>66</v>
      </c>
      <c r="C25" t="s">
        <v>144</v>
      </c>
      <c r="D25" t="s">
        <v>144</v>
      </c>
      <c r="E25" s="6" t="s">
        <v>121</v>
      </c>
      <c r="F25" s="6" t="s">
        <v>121</v>
      </c>
      <c r="G25" s="6" t="s">
        <v>121</v>
      </c>
      <c r="H25" s="6" t="s">
        <v>121</v>
      </c>
      <c r="I25" s="6" t="s">
        <v>121</v>
      </c>
      <c r="J25" s="6" t="s">
        <v>121</v>
      </c>
      <c r="K25" s="6" t="s">
        <v>121</v>
      </c>
      <c r="L25" s="6"/>
      <c r="M25" s="6"/>
      <c r="N25" s="6"/>
      <c r="O25" s="6"/>
    </row>
    <row r="26" spans="1:15">
      <c r="A26" s="6">
        <v>64</v>
      </c>
      <c r="B26" s="6" t="s">
        <v>66</v>
      </c>
      <c r="C26" t="s">
        <v>145</v>
      </c>
      <c r="D26" t="s">
        <v>145</v>
      </c>
      <c r="E26" s="6" t="s">
        <v>121</v>
      </c>
      <c r="F26" s="6" t="s">
        <v>121</v>
      </c>
      <c r="G26" s="6" t="s">
        <v>121</v>
      </c>
      <c r="H26" s="6" t="s">
        <v>121</v>
      </c>
      <c r="I26" s="6" t="s">
        <v>121</v>
      </c>
      <c r="J26" s="6" t="s">
        <v>121</v>
      </c>
      <c r="K26" s="6" t="s">
        <v>121</v>
      </c>
      <c r="L26" s="6"/>
      <c r="M26" s="6"/>
      <c r="N26" s="6"/>
      <c r="O26" s="6"/>
    </row>
    <row r="27" spans="1:15">
      <c r="A27" s="6">
        <v>65</v>
      </c>
      <c r="B27" s="6" t="s">
        <v>27</v>
      </c>
      <c r="C27" t="s">
        <v>146</v>
      </c>
      <c r="D27" t="s">
        <v>146</v>
      </c>
      <c r="E27" s="6" t="s">
        <v>121</v>
      </c>
      <c r="F27" s="6" t="s">
        <v>121</v>
      </c>
      <c r="G27" s="6" t="s">
        <v>121</v>
      </c>
      <c r="H27" s="6" t="s">
        <v>121</v>
      </c>
      <c r="I27" s="6" t="s">
        <v>121</v>
      </c>
      <c r="J27" s="6" t="s">
        <v>121</v>
      </c>
      <c r="K27" s="6" t="s">
        <v>121</v>
      </c>
      <c r="L27" s="6"/>
      <c r="M27" s="6"/>
      <c r="N27" s="6"/>
      <c r="O27" s="6"/>
    </row>
    <row r="28" spans="1:15">
      <c r="A28" s="6">
        <v>66</v>
      </c>
      <c r="B28" t="s">
        <v>66</v>
      </c>
      <c r="C28" t="s">
        <v>147</v>
      </c>
      <c r="D28" t="s">
        <v>147</v>
      </c>
      <c r="E28" s="6" t="s">
        <v>121</v>
      </c>
      <c r="F28" s="6" t="s">
        <v>121</v>
      </c>
      <c r="G28" s="6" t="s">
        <v>121</v>
      </c>
      <c r="H28" s="6" t="s">
        <v>121</v>
      </c>
      <c r="I28" s="6" t="s">
        <v>121</v>
      </c>
      <c r="J28" s="6" t="s">
        <v>121</v>
      </c>
      <c r="K28" s="6" t="s">
        <v>121</v>
      </c>
      <c r="L28" s="6"/>
      <c r="M28" s="6"/>
      <c r="N28" s="6"/>
      <c r="O28" s="6"/>
    </row>
    <row r="29" spans="1:15">
      <c r="A29" s="6">
        <v>67</v>
      </c>
      <c r="B29" t="s">
        <v>66</v>
      </c>
      <c r="C29" t="s">
        <v>148</v>
      </c>
      <c r="D29" t="s">
        <v>148</v>
      </c>
      <c r="E29" s="6" t="s">
        <v>121</v>
      </c>
      <c r="F29" s="6" t="s">
        <v>121</v>
      </c>
      <c r="G29" s="6" t="s">
        <v>121</v>
      </c>
      <c r="H29" s="6" t="s">
        <v>121</v>
      </c>
      <c r="I29" s="6" t="s">
        <v>121</v>
      </c>
      <c r="J29" s="6" t="s">
        <v>121</v>
      </c>
      <c r="K29" s="6" t="s">
        <v>121</v>
      </c>
      <c r="L29" s="6"/>
      <c r="M29" s="6"/>
      <c r="N29" s="6"/>
      <c r="O29" s="6"/>
    </row>
    <row r="30" spans="1:15">
      <c r="A30" s="6">
        <v>68</v>
      </c>
      <c r="B30" t="s">
        <v>27</v>
      </c>
      <c r="C30" t="s">
        <v>149</v>
      </c>
      <c r="D30" t="s">
        <v>149</v>
      </c>
      <c r="E30" s="6" t="s">
        <v>121</v>
      </c>
      <c r="F30" s="6" t="s">
        <v>121</v>
      </c>
      <c r="G30" s="6" t="s">
        <v>121</v>
      </c>
      <c r="H30" s="6" t="s">
        <v>121</v>
      </c>
      <c r="I30" s="6" t="s">
        <v>121</v>
      </c>
      <c r="J30" s="6" t="s">
        <v>121</v>
      </c>
      <c r="K30" s="6" t="s">
        <v>121</v>
      </c>
      <c r="L30" s="6"/>
      <c r="M30" s="6"/>
      <c r="N30" s="6"/>
      <c r="O30" s="6"/>
    </row>
    <row r="31" spans="1:15">
      <c r="A31" s="6">
        <v>69</v>
      </c>
      <c r="B31" t="s">
        <v>24</v>
      </c>
      <c r="C31" t="s">
        <v>150</v>
      </c>
      <c r="D31" t="s">
        <v>150</v>
      </c>
      <c r="E31" s="6" t="s">
        <v>121</v>
      </c>
      <c r="F31" s="6" t="s">
        <v>121</v>
      </c>
      <c r="G31" s="6" t="s">
        <v>121</v>
      </c>
      <c r="H31" s="6" t="s">
        <v>121</v>
      </c>
      <c r="I31" s="6" t="s">
        <v>121</v>
      </c>
      <c r="J31" s="6" t="s">
        <v>121</v>
      </c>
      <c r="K31" s="6" t="s">
        <v>121</v>
      </c>
      <c r="L31" s="6"/>
      <c r="M31" s="6"/>
      <c r="N31" s="6"/>
      <c r="O31" s="6"/>
    </row>
    <row r="32" spans="1:15">
      <c r="A32" s="6">
        <v>70</v>
      </c>
      <c r="B32" t="s">
        <v>27</v>
      </c>
      <c r="C32" t="s">
        <v>151</v>
      </c>
      <c r="D32" t="s">
        <v>151</v>
      </c>
      <c r="E32" s="6" t="s">
        <v>121</v>
      </c>
      <c r="F32" s="6" t="s">
        <v>121</v>
      </c>
      <c r="G32" s="6" t="s">
        <v>121</v>
      </c>
      <c r="H32" s="6" t="s">
        <v>121</v>
      </c>
      <c r="I32" s="6" t="s">
        <v>121</v>
      </c>
      <c r="J32" s="6" t="s">
        <v>121</v>
      </c>
      <c r="K32" s="6" t="s">
        <v>121</v>
      </c>
      <c r="L32" s="6"/>
      <c r="M32" s="6"/>
      <c r="N32" s="6"/>
      <c r="O32" s="6"/>
    </row>
    <row r="33" spans="1:15">
      <c r="A33" s="6">
        <v>71</v>
      </c>
      <c r="B33" t="s">
        <v>66</v>
      </c>
      <c r="C33" t="s">
        <v>152</v>
      </c>
      <c r="D33" t="s">
        <v>152</v>
      </c>
      <c r="E33" s="6" t="s">
        <v>121</v>
      </c>
      <c r="F33" s="6" t="s">
        <v>121</v>
      </c>
      <c r="G33" s="6" t="s">
        <v>121</v>
      </c>
      <c r="H33" s="6" t="s">
        <v>121</v>
      </c>
      <c r="I33" s="6" t="s">
        <v>121</v>
      </c>
      <c r="J33" s="6" t="s">
        <v>121</v>
      </c>
      <c r="K33" s="6" t="s">
        <v>121</v>
      </c>
      <c r="L33" s="6"/>
      <c r="M33" s="6"/>
      <c r="N33" s="6"/>
      <c r="O33" s="6"/>
    </row>
    <row r="34" spans="1:15">
      <c r="A34" s="6">
        <v>72</v>
      </c>
      <c r="B34" t="s">
        <v>66</v>
      </c>
      <c r="C34" t="s">
        <v>153</v>
      </c>
      <c r="D34" t="s">
        <v>153</v>
      </c>
      <c r="E34" s="6" t="s">
        <v>121</v>
      </c>
      <c r="F34" s="6" t="s">
        <v>121</v>
      </c>
      <c r="G34" s="6" t="s">
        <v>121</v>
      </c>
      <c r="H34" s="6" t="s">
        <v>121</v>
      </c>
      <c r="I34" s="6" t="s">
        <v>121</v>
      </c>
      <c r="J34" s="6" t="s">
        <v>121</v>
      </c>
      <c r="K34" s="6" t="s">
        <v>121</v>
      </c>
      <c r="L34" s="6"/>
      <c r="M34" s="6"/>
      <c r="N34" s="6"/>
      <c r="O34" s="6"/>
    </row>
    <row r="35" spans="1:15">
      <c r="A35" s="6">
        <v>73</v>
      </c>
      <c r="B35" t="s">
        <v>27</v>
      </c>
      <c r="C35" t="s">
        <v>154</v>
      </c>
      <c r="D35" t="s">
        <v>154</v>
      </c>
      <c r="E35" s="6" t="s">
        <v>121</v>
      </c>
      <c r="F35" s="6" t="s">
        <v>121</v>
      </c>
      <c r="G35" s="6" t="s">
        <v>121</v>
      </c>
      <c r="H35" s="6" t="s">
        <v>121</v>
      </c>
      <c r="I35" s="6" t="s">
        <v>121</v>
      </c>
      <c r="J35" s="6" t="s">
        <v>121</v>
      </c>
      <c r="K35" s="6" t="s">
        <v>121</v>
      </c>
      <c r="L35" s="6"/>
      <c r="M35" s="6"/>
      <c r="N35" s="6"/>
      <c r="O35" s="6"/>
    </row>
    <row r="36" spans="1:15">
      <c r="A36" s="6">
        <v>74</v>
      </c>
      <c r="B36" t="s">
        <v>27</v>
      </c>
      <c r="C36" t="s">
        <v>155</v>
      </c>
      <c r="D36" t="s">
        <v>155</v>
      </c>
      <c r="E36" s="6" t="s">
        <v>121</v>
      </c>
      <c r="F36" s="6" t="s">
        <v>121</v>
      </c>
      <c r="G36" s="6" t="s">
        <v>121</v>
      </c>
      <c r="H36" s="6" t="s">
        <v>121</v>
      </c>
      <c r="I36" s="6" t="s">
        <v>121</v>
      </c>
      <c r="J36" s="6" t="s">
        <v>121</v>
      </c>
      <c r="K36" s="6" t="s">
        <v>121</v>
      </c>
      <c r="L36" s="6"/>
      <c r="M36" s="6"/>
      <c r="N36" s="6"/>
      <c r="O36" s="6"/>
    </row>
    <row r="37" spans="1:15">
      <c r="A37" s="6">
        <v>75</v>
      </c>
      <c r="B37" t="s">
        <v>66</v>
      </c>
      <c r="C37" t="s">
        <v>156</v>
      </c>
      <c r="D37" t="s">
        <v>156</v>
      </c>
      <c r="E37" s="6" t="s">
        <v>121</v>
      </c>
      <c r="F37" s="6" t="s">
        <v>121</v>
      </c>
      <c r="G37" s="6" t="s">
        <v>121</v>
      </c>
      <c r="H37" s="6" t="s">
        <v>121</v>
      </c>
      <c r="I37" s="6" t="s">
        <v>121</v>
      </c>
      <c r="J37" s="6" t="s">
        <v>121</v>
      </c>
      <c r="K37" s="6" t="s">
        <v>121</v>
      </c>
      <c r="L37" s="6"/>
      <c r="M37" s="6"/>
      <c r="N37" s="6"/>
      <c r="O37" s="6"/>
    </row>
    <row r="38" spans="1:15">
      <c r="A38" s="6">
        <v>76</v>
      </c>
      <c r="B38" t="s">
        <v>66</v>
      </c>
      <c r="C38" t="s">
        <v>157</v>
      </c>
      <c r="D38" t="s">
        <v>157</v>
      </c>
      <c r="E38" s="6" t="s">
        <v>121</v>
      </c>
      <c r="F38" s="6" t="s">
        <v>121</v>
      </c>
      <c r="G38" s="6" t="s">
        <v>121</v>
      </c>
      <c r="H38" s="6" t="s">
        <v>121</v>
      </c>
      <c r="I38" s="6" t="s">
        <v>121</v>
      </c>
      <c r="J38" s="6" t="s">
        <v>121</v>
      </c>
      <c r="K38" s="6" t="s">
        <v>121</v>
      </c>
      <c r="L38" s="6"/>
      <c r="M38" s="6"/>
      <c r="N38" s="6"/>
      <c r="O38" s="6"/>
    </row>
    <row r="39" spans="1:15">
      <c r="A39" s="6">
        <v>77</v>
      </c>
      <c r="B39" s="6" t="s">
        <v>27</v>
      </c>
      <c r="C39" t="s">
        <v>158</v>
      </c>
      <c r="D39" t="s">
        <v>158</v>
      </c>
      <c r="E39" s="6" t="s">
        <v>121</v>
      </c>
      <c r="F39" s="6" t="s">
        <v>121</v>
      </c>
      <c r="G39" s="6" t="s">
        <v>121</v>
      </c>
      <c r="H39" s="6" t="s">
        <v>121</v>
      </c>
      <c r="I39" s="6" t="s">
        <v>121</v>
      </c>
      <c r="J39" s="6" t="s">
        <v>121</v>
      </c>
      <c r="K39" s="6" t="s">
        <v>121</v>
      </c>
      <c r="L39" s="6"/>
      <c r="M39" s="6"/>
      <c r="N39" s="6"/>
      <c r="O39" s="6"/>
    </row>
    <row r="40" spans="1:15">
      <c r="A40" s="6">
        <v>78</v>
      </c>
      <c r="B40" s="6" t="s">
        <v>66</v>
      </c>
      <c r="C40" t="s">
        <v>159</v>
      </c>
      <c r="D40" t="s">
        <v>159</v>
      </c>
      <c r="E40" s="6" t="s">
        <v>121</v>
      </c>
      <c r="F40" s="6" t="s">
        <v>121</v>
      </c>
      <c r="G40" s="6" t="s">
        <v>121</v>
      </c>
      <c r="H40" s="6" t="s">
        <v>121</v>
      </c>
      <c r="I40" s="6" t="s">
        <v>121</v>
      </c>
      <c r="J40" s="6" t="s">
        <v>121</v>
      </c>
      <c r="K40" s="6" t="s">
        <v>121</v>
      </c>
      <c r="L40" s="6"/>
      <c r="M40" s="6"/>
      <c r="N40" s="6"/>
      <c r="O40" s="6"/>
    </row>
    <row r="41" spans="1:15">
      <c r="A41" s="6">
        <v>79</v>
      </c>
      <c r="B41" s="6" t="s">
        <v>66</v>
      </c>
      <c r="C41" t="s">
        <v>160</v>
      </c>
      <c r="D41" t="s">
        <v>160</v>
      </c>
      <c r="E41" s="6" t="s">
        <v>121</v>
      </c>
      <c r="F41" s="6" t="s">
        <v>121</v>
      </c>
      <c r="G41" s="6" t="s">
        <v>121</v>
      </c>
      <c r="H41" s="6" t="s">
        <v>121</v>
      </c>
      <c r="I41" s="6" t="s">
        <v>121</v>
      </c>
      <c r="J41" s="6" t="s">
        <v>121</v>
      </c>
      <c r="K41" s="6" t="s">
        <v>121</v>
      </c>
      <c r="L41" s="6"/>
      <c r="M41" s="6"/>
      <c r="N41" s="6"/>
      <c r="O41" s="6"/>
    </row>
    <row r="42" spans="1:15">
      <c r="A42" s="6">
        <v>80</v>
      </c>
      <c r="B42" s="6" t="s">
        <v>66</v>
      </c>
      <c r="C42" t="s">
        <v>161</v>
      </c>
      <c r="D42" t="s">
        <v>161</v>
      </c>
      <c r="E42" s="6" t="s">
        <v>121</v>
      </c>
      <c r="F42" s="6" t="s">
        <v>121</v>
      </c>
      <c r="G42" s="6" t="s">
        <v>121</v>
      </c>
      <c r="H42" s="6" t="s">
        <v>121</v>
      </c>
      <c r="I42" s="6" t="s">
        <v>121</v>
      </c>
      <c r="J42" s="6" t="s">
        <v>121</v>
      </c>
      <c r="K42" s="6" t="s">
        <v>121</v>
      </c>
      <c r="L42" s="6"/>
      <c r="M42" s="6"/>
      <c r="N42" s="6"/>
      <c r="O42" s="6"/>
    </row>
    <row r="43" spans="1:15">
      <c r="A43" s="6">
        <v>81</v>
      </c>
      <c r="B43" s="6" t="s">
        <v>66</v>
      </c>
      <c r="C43" t="s">
        <v>162</v>
      </c>
      <c r="D43" t="s">
        <v>162</v>
      </c>
      <c r="E43" s="6" t="s">
        <v>121</v>
      </c>
      <c r="F43" s="6" t="s">
        <v>121</v>
      </c>
      <c r="G43" s="6" t="s">
        <v>121</v>
      </c>
      <c r="H43" s="6" t="s">
        <v>121</v>
      </c>
      <c r="I43" s="6" t="s">
        <v>121</v>
      </c>
      <c r="J43" s="6" t="s">
        <v>121</v>
      </c>
      <c r="K43" s="6" t="s">
        <v>121</v>
      </c>
      <c r="L43" s="6"/>
      <c r="M43" s="6"/>
      <c r="N43" s="6"/>
      <c r="O43" s="6"/>
    </row>
    <row r="44" spans="1:15">
      <c r="A44" s="6">
        <v>82</v>
      </c>
      <c r="B44" s="6"/>
      <c r="C44" t="s">
        <v>121</v>
      </c>
      <c r="D44" t="s">
        <v>121</v>
      </c>
      <c r="E44" s="6" t="s">
        <v>121</v>
      </c>
      <c r="F44" s="6" t="s">
        <v>121</v>
      </c>
      <c r="G44" s="6" t="s">
        <v>121</v>
      </c>
      <c r="H44" s="6" t="s">
        <v>121</v>
      </c>
      <c r="I44" s="6" t="s">
        <v>121</v>
      </c>
      <c r="J44" s="6" t="s">
        <v>121</v>
      </c>
      <c r="K44" s="6" t="s">
        <v>121</v>
      </c>
      <c r="L44" s="6"/>
      <c r="M44" s="6"/>
      <c r="N44" s="6"/>
      <c r="O44" s="6"/>
    </row>
    <row r="45" spans="1:15">
      <c r="A45" s="6">
        <v>83</v>
      </c>
      <c r="B45" s="6"/>
      <c r="C45" t="s">
        <v>121</v>
      </c>
      <c r="D45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  <c r="L45" s="6"/>
      <c r="M45" s="6"/>
      <c r="N45" s="6"/>
      <c r="O45" s="6"/>
    </row>
    <row r="46" spans="1:15">
      <c r="A46" s="6">
        <v>84</v>
      </c>
      <c r="B46" s="6"/>
      <c r="C46" t="s">
        <v>121</v>
      </c>
      <c r="D4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  <c r="L46" s="6"/>
      <c r="M46" s="6"/>
      <c r="N46" s="6"/>
      <c r="O46" s="6"/>
    </row>
    <row r="47" spans="1:15">
      <c r="A47" s="6">
        <v>85</v>
      </c>
      <c r="B47" s="6"/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  <c r="L47" s="6"/>
      <c r="M47" s="6"/>
      <c r="N47" s="6"/>
      <c r="O47" s="6"/>
    </row>
    <row r="48" spans="1:15">
      <c r="A48" s="6">
        <v>86</v>
      </c>
      <c r="B48" s="6"/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  <c r="L48" s="6"/>
      <c r="M48" s="6"/>
      <c r="N48" s="6"/>
      <c r="O48" s="6"/>
    </row>
    <row r="49" spans="1:15">
      <c r="A49" s="6">
        <v>87</v>
      </c>
      <c r="B49" s="6"/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  <c r="L49" s="6"/>
      <c r="M49" s="6"/>
      <c r="N49" s="6"/>
      <c r="O49" s="6"/>
    </row>
    <row r="50" spans="1:15">
      <c r="A50" s="6">
        <v>88</v>
      </c>
      <c r="B50" s="6"/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  <c r="L50" s="6"/>
      <c r="M50" s="6"/>
      <c r="N50" s="6"/>
      <c r="O50" s="6"/>
    </row>
    <row r="51" spans="1:15">
      <c r="A51" s="6">
        <v>89</v>
      </c>
      <c r="B51" s="6"/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  <c r="L51" s="6"/>
      <c r="M51" s="6"/>
      <c r="N51" s="6"/>
      <c r="O51" s="6"/>
    </row>
    <row r="52" spans="1:15">
      <c r="A52" s="6">
        <v>90</v>
      </c>
      <c r="B52" s="6"/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  <c r="L52" s="6"/>
      <c r="M52" s="6"/>
      <c r="N52" s="6"/>
      <c r="O52" s="6"/>
    </row>
    <row r="53" spans="1:15">
      <c r="A53" s="6">
        <v>91</v>
      </c>
      <c r="B53" s="6"/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  <c r="L53" s="6"/>
      <c r="M53" s="6"/>
      <c r="N53" s="6"/>
      <c r="O53" s="6"/>
    </row>
    <row r="54" spans="1:15">
      <c r="A54" s="6">
        <v>92</v>
      </c>
      <c r="B54" s="6"/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  <c r="L54" s="6"/>
      <c r="M54" s="6"/>
      <c r="N54" s="6"/>
      <c r="O54" s="6"/>
    </row>
    <row r="55" spans="1:15">
      <c r="A55" s="6">
        <v>93</v>
      </c>
      <c r="B55" s="6"/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  <c r="L55" s="6"/>
      <c r="M55" s="6"/>
      <c r="N55" s="6"/>
      <c r="O55" s="6"/>
    </row>
    <row r="56" spans="1:15">
      <c r="A56" s="6">
        <v>94</v>
      </c>
      <c r="B56" s="6"/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  <c r="L56" s="6"/>
      <c r="M56" s="6"/>
      <c r="N56" s="6"/>
      <c r="O56" s="6"/>
    </row>
    <row r="57" spans="1:15">
      <c r="A57" s="6">
        <v>95</v>
      </c>
      <c r="B57" s="6"/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  <c r="L57" s="6"/>
      <c r="M57" s="6"/>
      <c r="N57" s="6"/>
      <c r="O57" s="6"/>
    </row>
    <row r="58" spans="1:15">
      <c r="A58" s="6">
        <v>96</v>
      </c>
      <c r="B58" s="6"/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  <c r="L58" s="6"/>
      <c r="M58" s="6"/>
      <c r="N58" s="6"/>
      <c r="O58" s="6"/>
    </row>
    <row r="59" spans="1:15">
      <c r="A59" s="6">
        <v>97</v>
      </c>
      <c r="B59" s="6"/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  <c r="L59" s="6"/>
      <c r="M59" s="6"/>
      <c r="N59" s="6"/>
      <c r="O59" s="6"/>
    </row>
    <row r="60" spans="1:15">
      <c r="A60" s="6">
        <v>98</v>
      </c>
      <c r="B60" s="6"/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  <c r="L60" s="6"/>
      <c r="M60" s="6"/>
      <c r="N60" s="6"/>
      <c r="O60" s="6"/>
    </row>
    <row r="61" spans="1:15">
      <c r="A61" s="6">
        <v>99</v>
      </c>
      <c r="B61" s="6"/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  <c r="L61" s="6"/>
      <c r="M61" s="6"/>
      <c r="N61" s="6"/>
      <c r="O61" s="6"/>
    </row>
    <row r="62" spans="1:15">
      <c r="A62" s="6">
        <v>100</v>
      </c>
      <c r="B62" s="6"/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  <c r="L62" s="6"/>
      <c r="M62" s="6"/>
      <c r="N62" s="6"/>
      <c r="O62" s="6"/>
    </row>
    <row r="63" spans="1:15">
      <c r="A63" s="6"/>
      <c r="B63" s="6"/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  <c r="L63" s="6"/>
      <c r="M63" s="6"/>
      <c r="N63" s="6"/>
      <c r="O63" s="6"/>
    </row>
    <row r="64" spans="1:15">
      <c r="A64" s="6"/>
      <c r="B64" s="6"/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  <c r="L64" s="6"/>
      <c r="M64" s="6"/>
      <c r="N64" s="6"/>
      <c r="O64" s="6"/>
    </row>
    <row r="65" spans="1:15">
      <c r="A65" s="6"/>
      <c r="B65" s="6"/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  <c r="L65" s="6"/>
      <c r="M65" s="6"/>
      <c r="N65" s="6"/>
      <c r="O65" s="6"/>
    </row>
    <row r="66" spans="1:15">
      <c r="A66" s="6"/>
      <c r="B66" s="6"/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  <c r="L66" s="6"/>
      <c r="M66" s="6"/>
      <c r="N66" s="6"/>
      <c r="O66" s="6"/>
    </row>
    <row r="67" spans="1:15">
      <c r="A67" s="6"/>
      <c r="B67" s="6"/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  <c r="L67" s="6"/>
      <c r="M67" s="6"/>
      <c r="N67" s="6"/>
      <c r="O67" s="6"/>
    </row>
    <row r="68" spans="1:15">
      <c r="A68" s="6"/>
      <c r="B68" s="6"/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  <c r="L68" s="6"/>
      <c r="M68" s="6"/>
      <c r="N68" s="6"/>
      <c r="O68" s="6"/>
    </row>
    <row r="69" spans="1:15">
      <c r="A69" s="6"/>
      <c r="B69" s="6"/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  <c r="L69" s="6"/>
      <c r="M69" s="6"/>
      <c r="N69" s="6"/>
      <c r="O69" s="6"/>
    </row>
    <row r="70" spans="1:15">
      <c r="A70" s="6"/>
      <c r="B70" s="6"/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  <c r="L70" s="6"/>
      <c r="M70" s="6"/>
      <c r="N70" s="6"/>
      <c r="O70" s="6"/>
    </row>
    <row r="71" spans="1:15">
      <c r="A71" s="6"/>
      <c r="B71" s="6"/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  <c r="L71" s="6"/>
      <c r="M71" s="6"/>
      <c r="N71" s="6"/>
      <c r="O71" s="6"/>
    </row>
    <row r="72" spans="1:15">
      <c r="A72" s="6"/>
      <c r="B72" s="6"/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  <c r="L72" s="6"/>
      <c r="M72" s="6"/>
      <c r="N72" s="6"/>
      <c r="O72" s="6"/>
    </row>
    <row r="73" spans="1:15">
      <c r="A73" s="6"/>
      <c r="B73" s="6"/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  <c r="L73" s="6"/>
      <c r="M73" s="6"/>
      <c r="N73" s="6"/>
      <c r="O73" s="6"/>
    </row>
    <row r="74" spans="1:15">
      <c r="A74" s="6"/>
      <c r="B74" s="6"/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  <c r="L74" s="6"/>
      <c r="M74" s="6"/>
      <c r="N74" s="6"/>
      <c r="O74" s="6"/>
    </row>
    <row r="75" spans="1:15">
      <c r="A75" s="6"/>
      <c r="B75" s="6"/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  <c r="L75" s="6"/>
      <c r="M75" s="6"/>
      <c r="N75" s="6"/>
      <c r="O75" s="6"/>
    </row>
    <row r="76" spans="1:15">
      <c r="A76" s="6"/>
      <c r="B76" s="6"/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  <c r="L76" s="6"/>
      <c r="M76" s="6"/>
      <c r="N76" s="6"/>
      <c r="O76" s="6"/>
    </row>
    <row r="77" spans="1:15">
      <c r="A77" s="6"/>
      <c r="B77" s="6"/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  <c r="L77" s="6"/>
      <c r="M77" s="6"/>
      <c r="N77" s="6"/>
      <c r="O77" s="6"/>
    </row>
    <row r="78" spans="1:15">
      <c r="A78" s="6"/>
      <c r="B78" s="6"/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  <c r="L78" s="6"/>
      <c r="M78" s="6"/>
      <c r="N78" s="6"/>
      <c r="O78" s="6"/>
    </row>
    <row r="79" spans="1:15">
      <c r="A79" s="6"/>
      <c r="B79" s="6"/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  <c r="L79" s="6"/>
      <c r="M79" s="6"/>
      <c r="N79" s="6"/>
      <c r="O79" s="6"/>
    </row>
    <row r="80" spans="1:15">
      <c r="A80" s="6"/>
      <c r="B80" s="6"/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  <c r="L80" s="6"/>
      <c r="M80" s="6"/>
      <c r="N80" s="6"/>
      <c r="O80" s="6"/>
    </row>
    <row r="81" spans="1:15">
      <c r="A81" s="6"/>
      <c r="B81" s="6"/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  <c r="L81" s="6"/>
      <c r="M81" s="6"/>
      <c r="N81" s="6"/>
      <c r="O81" s="6"/>
    </row>
    <row r="82" spans="1:15">
      <c r="A82" s="6"/>
      <c r="B82" s="6"/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  <c r="L82" s="6"/>
      <c r="M82" s="6"/>
      <c r="N82" s="6"/>
      <c r="O82" s="6"/>
    </row>
    <row r="83" spans="1:15">
      <c r="A83" s="6"/>
      <c r="B83" s="6"/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  <c r="L83" s="6"/>
      <c r="M83" s="6"/>
      <c r="N83" s="6"/>
      <c r="O83" s="6"/>
    </row>
    <row r="84" spans="1:15">
      <c r="A84" s="6"/>
      <c r="B84" s="6"/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  <c r="L84" s="6"/>
      <c r="M84" s="6"/>
      <c r="N84" s="6"/>
      <c r="O84" s="6"/>
    </row>
    <row r="85" spans="1:15">
      <c r="A85" s="6"/>
      <c r="B85" s="6"/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  <c r="L85" s="6"/>
      <c r="M85" s="6"/>
      <c r="N85" s="6"/>
      <c r="O85" s="6"/>
    </row>
    <row r="86" spans="1:15">
      <c r="A86" s="6"/>
      <c r="B86" s="6"/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  <c r="L86" s="6"/>
      <c r="M86" s="6"/>
      <c r="N86" s="6"/>
      <c r="O86" s="6"/>
    </row>
    <row r="87" spans="1:15">
      <c r="A87" s="6"/>
      <c r="B87" s="6"/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  <c r="L87" s="6"/>
      <c r="M87" s="6"/>
      <c r="N87" s="6"/>
      <c r="O87" s="6"/>
    </row>
    <row r="88" spans="1:15">
      <c r="A88" s="6"/>
      <c r="B88" s="6"/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  <c r="L88" s="6"/>
      <c r="M88" s="6"/>
      <c r="N88" s="6"/>
      <c r="O88" s="6"/>
    </row>
    <row r="89" spans="1:15">
      <c r="A89" s="6"/>
      <c r="B89" s="6"/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  <c r="L89" s="6"/>
      <c r="M89" s="6"/>
      <c r="N89" s="6"/>
      <c r="O89" s="6"/>
    </row>
    <row r="90" spans="1:15">
      <c r="A90" s="6"/>
      <c r="B90" s="6"/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  <c r="L90" s="6"/>
      <c r="M90" s="6"/>
      <c r="N90" s="6"/>
      <c r="O90" s="6"/>
    </row>
    <row r="91" spans="1:15">
      <c r="A91" s="6"/>
      <c r="B91" s="6"/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  <c r="L91" s="6"/>
      <c r="M91" s="6"/>
      <c r="N91" s="6"/>
      <c r="O91" s="6"/>
    </row>
    <row r="92" spans="1:15">
      <c r="A92" s="6"/>
      <c r="B92" s="6"/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  <c r="L92" s="6"/>
      <c r="M92" s="6"/>
      <c r="N92" s="6"/>
      <c r="O92" s="6"/>
    </row>
    <row r="93" spans="1:15">
      <c r="A93" s="6"/>
      <c r="B93" s="6"/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  <c r="L93" s="6"/>
      <c r="M93" s="6"/>
      <c r="N93" s="6"/>
      <c r="O93" s="6"/>
    </row>
    <row r="94" spans="1:15">
      <c r="A94" s="6"/>
      <c r="B94" s="6"/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  <c r="L94" s="6"/>
      <c r="M94" s="6"/>
      <c r="N94" s="6"/>
      <c r="O94" s="6"/>
    </row>
    <row r="95" spans="1:15">
      <c r="A95" s="6"/>
      <c r="B95" s="6"/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  <c r="L95" s="6"/>
      <c r="M95" s="6"/>
      <c r="N95" s="6"/>
      <c r="O95" s="6"/>
    </row>
    <row r="96" spans="1:15">
      <c r="A96" s="6"/>
      <c r="B96" s="6"/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  <c r="L96" s="6"/>
      <c r="M96" s="6"/>
      <c r="N96" s="6"/>
      <c r="O96" s="6"/>
    </row>
    <row r="97" spans="1:15">
      <c r="A97" s="6"/>
      <c r="B97" s="6"/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  <c r="L97" s="6"/>
      <c r="M97" s="6"/>
      <c r="N97" s="6"/>
      <c r="O97" s="6"/>
    </row>
    <row r="98" spans="1:15">
      <c r="A98" s="6"/>
      <c r="B98" s="6"/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  <c r="L98" s="6"/>
      <c r="M98" s="6"/>
      <c r="N98" s="6"/>
      <c r="O98" s="6"/>
    </row>
    <row r="99" spans="1:15">
      <c r="A99" s="6"/>
      <c r="B99" s="6"/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  <c r="L99" s="6"/>
      <c r="M99" s="6"/>
      <c r="N99" s="6"/>
      <c r="O99" s="6"/>
    </row>
    <row r="100" spans="1:15">
      <c r="A100" s="6"/>
      <c r="B100" s="6"/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  <c r="L100" s="6"/>
      <c r="M100" s="6"/>
      <c r="N100" s="6"/>
      <c r="O100" s="6"/>
    </row>
    <row r="101" spans="1:15">
      <c r="A101" s="6"/>
      <c r="B101" s="6"/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  <c r="L101" s="6"/>
      <c r="M101" s="6"/>
      <c r="N101" s="6"/>
      <c r="O101" s="6"/>
    </row>
    <row r="102" spans="1:15">
      <c r="A102" s="6"/>
      <c r="B102" s="6"/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  <c r="L102" s="6"/>
      <c r="M102" s="6"/>
      <c r="N102" s="6"/>
      <c r="O102" s="6"/>
    </row>
    <row r="103" spans="1:15">
      <c r="A103" s="6"/>
      <c r="B103" s="6"/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  <c r="L103" s="6"/>
      <c r="M103" s="6"/>
      <c r="N103" s="6"/>
      <c r="O103" s="6"/>
    </row>
    <row r="104" spans="1:15">
      <c r="A104" s="6"/>
      <c r="B104" s="6"/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  <c r="L104" s="6"/>
      <c r="M104" s="6"/>
      <c r="N104" s="6"/>
      <c r="O104" s="6"/>
    </row>
    <row r="105" spans="1:15">
      <c r="A105" s="6"/>
      <c r="B105" s="6"/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  <c r="L105" s="6"/>
      <c r="M105" s="6"/>
      <c r="N105" s="6"/>
      <c r="O105" s="6"/>
    </row>
    <row r="106" spans="1:15">
      <c r="A106" s="6"/>
      <c r="B106" s="6"/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  <c r="L106" s="6"/>
      <c r="M106" s="6"/>
      <c r="N106" s="6"/>
      <c r="O106" s="6"/>
    </row>
    <row r="107" spans="1:15">
      <c r="A107" s="6"/>
      <c r="B107" s="6"/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  <c r="L107" s="6"/>
      <c r="M107" s="6"/>
      <c r="N107" s="6"/>
      <c r="O107" s="6"/>
    </row>
    <row r="108" spans="1:15">
      <c r="A108" s="6"/>
      <c r="B108" s="6"/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  <c r="L108" s="6"/>
      <c r="M108" s="6"/>
      <c r="N108" s="6"/>
      <c r="O108" s="6"/>
    </row>
    <row r="109" spans="1:15">
      <c r="A109" s="6"/>
      <c r="B109" s="6"/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  <c r="L109" s="6"/>
      <c r="M109" s="6"/>
      <c r="N109" s="6"/>
      <c r="O109" s="6"/>
    </row>
    <row r="110" spans="1:15">
      <c r="A110" s="6"/>
      <c r="B110" s="6"/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  <c r="L110" s="6"/>
      <c r="M110" s="6"/>
      <c r="N110" s="6"/>
      <c r="O110" s="6"/>
    </row>
    <row r="111" spans="1:15">
      <c r="A111" s="6"/>
      <c r="B111" s="6"/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  <c r="L111" s="6"/>
      <c r="M111" s="6"/>
      <c r="N111" s="6"/>
      <c r="O111" s="6"/>
    </row>
    <row r="112" spans="1:15">
      <c r="A112" s="6"/>
      <c r="B112" s="6"/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  <c r="L112" s="6"/>
      <c r="M112" s="6"/>
      <c r="N112" s="6"/>
      <c r="O112" s="6"/>
    </row>
    <row r="113" spans="1:15">
      <c r="A113" s="6"/>
      <c r="B113" s="6"/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  <c r="L113" s="6"/>
      <c r="M113" s="6"/>
      <c r="N113" s="6"/>
      <c r="O113" s="6"/>
    </row>
    <row r="114" spans="1:15">
      <c r="A114" s="6"/>
      <c r="B114" s="6"/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  <c r="L114" s="6"/>
      <c r="M114" s="6"/>
      <c r="N114" s="6"/>
      <c r="O114" s="6"/>
    </row>
    <row r="115" spans="1:15">
      <c r="A115" s="6"/>
      <c r="B115" s="6"/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  <c r="L115" s="6"/>
      <c r="M115" s="6"/>
      <c r="N115" s="6"/>
      <c r="O115" s="6"/>
    </row>
    <row r="116" spans="1:15">
      <c r="A116" s="6"/>
      <c r="B116" s="6"/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  <c r="L116" s="6"/>
      <c r="M116" s="6"/>
      <c r="N116" s="6"/>
      <c r="O116" s="6"/>
    </row>
    <row r="117" spans="1:15">
      <c r="A117" s="6"/>
      <c r="B117" s="6"/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  <c r="L117" s="6"/>
      <c r="M117" s="6"/>
      <c r="N117" s="6"/>
      <c r="O117" s="6"/>
    </row>
    <row r="118" spans="1:15">
      <c r="A118" s="6"/>
      <c r="B118" s="6"/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  <c r="L118" s="6"/>
      <c r="M118" s="6"/>
      <c r="N118" s="6"/>
      <c r="O118" s="6"/>
    </row>
    <row r="119" spans="1:15">
      <c r="A119" s="6"/>
      <c r="B119" s="6"/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  <c r="L119" s="6"/>
      <c r="M119" s="6"/>
      <c r="N119" s="6"/>
      <c r="O119" s="6"/>
    </row>
    <row r="120" spans="1:15">
      <c r="A120" s="6"/>
      <c r="B120" s="6"/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  <c r="L120" s="6"/>
      <c r="M120" s="6"/>
      <c r="N120" s="6"/>
      <c r="O120" s="6"/>
    </row>
    <row r="121" spans="1:15">
      <c r="A121" s="6"/>
      <c r="B121" s="6"/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  <c r="L121" s="6"/>
      <c r="M121" s="6"/>
      <c r="N121" s="6"/>
      <c r="O121" s="6"/>
    </row>
    <row r="122" spans="1:15">
      <c r="A122" s="6"/>
      <c r="B122" s="6"/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  <c r="L122" s="6"/>
      <c r="M122" s="6"/>
      <c r="N122" s="6"/>
      <c r="O122" s="6"/>
    </row>
    <row r="123" spans="1:15">
      <c r="A123" s="6"/>
      <c r="B123" s="6"/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  <c r="L123" s="6"/>
      <c r="M123" s="6"/>
      <c r="N123" s="6"/>
      <c r="O123" s="6"/>
    </row>
    <row r="124" spans="1:15">
      <c r="A124" s="6"/>
      <c r="B124" s="6"/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  <c r="L124" s="6"/>
      <c r="M124" s="6"/>
      <c r="N124" s="6"/>
      <c r="O124" s="6"/>
    </row>
    <row r="125" spans="1:15">
      <c r="A125" s="6"/>
      <c r="B125" s="6"/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  <c r="L125" s="6"/>
      <c r="M125" s="6"/>
      <c r="N125" s="6"/>
      <c r="O125" s="6"/>
    </row>
    <row r="126" spans="1:15">
      <c r="A126" s="6"/>
      <c r="B126" s="6"/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  <c r="L126" s="6"/>
      <c r="M126" s="6"/>
      <c r="N126" s="6"/>
      <c r="O126" s="6"/>
    </row>
    <row r="127" spans="1:15">
      <c r="A127" s="6"/>
      <c r="B127" s="6"/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  <c r="L127" s="6"/>
      <c r="M127" s="6"/>
      <c r="N127" s="6"/>
      <c r="O127" s="6"/>
    </row>
  </sheetData>
  <conditionalFormatting sqref="A5:B46 E5:P46 A47:P62">
    <cfRule type="expression" dxfId="62" priority="8">
      <formula>ISNUMBER(SEARCH("text",$B5))</formula>
    </cfRule>
    <cfRule type="expression" dxfId="61" priority="9">
      <formula>ISNUMBER(SEARCH("title",$B5))</formula>
    </cfRule>
    <cfRule type="expression" dxfId="60" priority="10">
      <formula>ISNUMBER(SEARCH("hero",$B5))</formula>
    </cfRule>
    <cfRule type="expression" dxfId="59" priority="11">
      <formula>ISNUMBER(SEARCH("card",$B5))</formula>
    </cfRule>
    <cfRule type="expression" dxfId="58" priority="12">
      <formula>ISNUMBER(SEARCH("carousel",$B5))</formula>
    </cfRule>
    <cfRule type="expression" dxfId="57" priority="13">
      <formula>ISNUMBER(SEARCH("video",$B5))</formula>
    </cfRule>
    <cfRule type="expression" dxfId="56" priority="14">
      <formula>ISNUMBER(SEARCH("image",$B5))</formula>
    </cfRule>
  </conditionalFormatting>
  <conditionalFormatting sqref="A2:P4">
    <cfRule type="expression" dxfId="55" priority="1">
      <formula>ISNUMBER(SEARCH("text",$B2))</formula>
    </cfRule>
    <cfRule type="expression" dxfId="54" priority="2">
      <formula>ISNUMBER(SEARCH("title",$B2))</formula>
    </cfRule>
    <cfRule type="expression" dxfId="53" priority="3">
      <formula>ISNUMBER(SEARCH("hero",$B2))</formula>
    </cfRule>
    <cfRule type="expression" dxfId="52" priority="4">
      <formula>ISNUMBER(SEARCH("card",$B2))</formula>
    </cfRule>
    <cfRule type="expression" dxfId="51" priority="5">
      <formula>ISNUMBER(SEARCH("carousel",$B2))</formula>
    </cfRule>
    <cfRule type="expression" dxfId="50" priority="6">
      <formula>ISNUMBER(SEARCH("video",$B2))</formula>
    </cfRule>
    <cfRule type="expression" dxfId="49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8A67-AF7B-44C8-9B7D-2AEA4B538676}">
  <dimension ref="A1:P103"/>
  <sheetViews>
    <sheetView workbookViewId="0">
      <pane ySplit="1" topLeftCell="A2" activePane="bottomLeft" state="frozen"/>
      <selection pane="bottomLeft" activeCell="D27" sqref="D27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f>IF($B2="","",IFERROR(INDEX('Типы элементов'!$C:$C,MATCH($B2,'Типы элементов'!$B:$B,0)),""))</f>
        <v>0</v>
      </c>
      <c r="D2" s="6">
        <f>IF($B2="","",IFERROR(INDEX('Типы элементов'!$D:$D,MATCH($B2,'Типы элементов'!$B:$B,0)),""))</f>
        <v>0</v>
      </c>
      <c r="E2" s="6" t="s">
        <v>15</v>
      </c>
      <c r="F2" s="6" t="s">
        <v>15</v>
      </c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/>
      <c r="J2" s="6"/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t="s">
        <v>163</v>
      </c>
      <c r="D3" t="s">
        <v>163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</row>
    <row r="5" spans="1:16">
      <c r="A5" s="6">
        <v>3</v>
      </c>
      <c r="B5" s="6" t="s">
        <v>27</v>
      </c>
      <c r="C5" t="s">
        <v>164</v>
      </c>
      <c r="D5" t="s">
        <v>164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165</v>
      </c>
      <c r="D6" t="s">
        <v>165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/>
      <c r="J6" s="6"/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166</v>
      </c>
      <c r="D7" t="s">
        <v>166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/>
      <c r="J7" s="6"/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14</v>
      </c>
      <c r="B8" s="6" t="s">
        <v>30</v>
      </c>
      <c r="C8" s="6">
        <f>IF($B8="","",IFERROR(INDEX('Типы элементов'!$C:$C,MATCH($B8,'Типы элементов'!$B:$B,0)),""))</f>
        <v>0</v>
      </c>
      <c r="D8" s="6">
        <f>IF($B8="","",IFERROR(INDEX('Типы элементов'!$D:$D,MATCH($B8,'Типы элементов'!$B:$B,0)),""))</f>
        <v>0</v>
      </c>
      <c r="E8" s="6" t="s">
        <v>210</v>
      </c>
      <c r="F8" s="6" t="s">
        <v>210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/>
      <c r="J8" s="6"/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300</v>
      </c>
      <c r="M8" s="6">
        <f>IF($B8="","",IFERROR(INDEX('Типы элементов'!$M:$M,MATCH($B8,'Типы элементов'!$B:$B,0)),""))</f>
        <v>300</v>
      </c>
      <c r="N8" s="6">
        <f>IF($B8="","",IFERROR(INDEX('Типы элементов'!$N:$N,MATCH($B8,'Типы элементов'!$B:$B,0)),""))</f>
        <v>1</v>
      </c>
      <c r="O8" s="6" t="str">
        <f>IF($B8="","",IFERROR(INDEX('Типы элементов'!$O:$O,MATCH($B8,'Типы элементов'!$B:$B,0)),""))</f>
        <v>contain</v>
      </c>
      <c r="P8" s="6">
        <f>IF($B8="","",IFERROR(INDEX('Типы элементов'!$P:$P,MATCH($B8,'Типы элементов'!$B:$B,0)),""))</f>
        <v>0</v>
      </c>
    </row>
    <row r="9" spans="1:16">
      <c r="A9" s="6">
        <v>6</v>
      </c>
      <c r="B9" s="6" t="s">
        <v>27</v>
      </c>
      <c r="C9" t="s">
        <v>168</v>
      </c>
      <c r="D9" t="s">
        <v>168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7</v>
      </c>
      <c r="B10" s="6" t="s">
        <v>66</v>
      </c>
      <c r="C10" t="s">
        <v>169</v>
      </c>
      <c r="D10" t="s">
        <v>169</v>
      </c>
      <c r="E10" s="6">
        <f>IF($B10="","",IFERROR(INDEX('Типы элементов'!$E:$E,MATCH($B10,'Типы элементов'!$B:$B,0)),""))</f>
        <v>0</v>
      </c>
      <c r="F10" s="6">
        <f>IF($B10="","",IFERROR(INDEX('Типы элементов'!$F:$F,MATCH($B10,'Типы элементов'!$B:$B,0)),""))</f>
        <v>0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/>
      <c r="J10" s="6"/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8</v>
      </c>
      <c r="B11" s="6" t="s">
        <v>66</v>
      </c>
      <c r="C11" t="s">
        <v>170</v>
      </c>
      <c r="D11" t="s">
        <v>170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/>
      <c r="J11" s="6"/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9</v>
      </c>
      <c r="B12" s="6" t="s">
        <v>66</v>
      </c>
      <c r="C12" t="s">
        <v>171</v>
      </c>
      <c r="D12" t="s">
        <v>171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/>
      <c r="J12" s="6"/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10</v>
      </c>
      <c r="B13" s="6" t="s">
        <v>66</v>
      </c>
      <c r="C13" t="s">
        <v>172</v>
      </c>
      <c r="D13" t="s">
        <v>172</v>
      </c>
      <c r="E13" s="6">
        <f>IF($B13="","",IFERROR(INDEX('Типы элементов'!$E:$E,MATCH($B13,'Типы элементов'!$B:$B,0)),""))</f>
        <v>0</v>
      </c>
      <c r="F13" s="6">
        <f>IF($B13="","",IFERROR(INDEX('Типы элементов'!$F:$F,MATCH($B13,'Типы элементов'!$B:$B,0)),""))</f>
        <v>0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/>
      <c r="J13" s="6"/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0</v>
      </c>
      <c r="M13" s="6">
        <f>IF($B13="","",IFERROR(INDEX('Типы элементов'!$M:$M,MATCH($B13,'Типы элементов'!$B:$B,0)),""))</f>
        <v>0</v>
      </c>
      <c r="N13" s="6">
        <f>IF($B13="","",IFERROR(INDEX('Типы элементов'!$N:$N,MATCH($B13,'Типы элементов'!$B:$B,0)),""))</f>
        <v>0</v>
      </c>
      <c r="O13" s="6">
        <f>IF($B13="","",IFERROR(INDEX('Типы элементов'!$O:$O,MATCH($B13,'Типы элементов'!$B:$B,0)),""))</f>
        <v>0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11</v>
      </c>
      <c r="B14" s="6" t="s">
        <v>66</v>
      </c>
      <c r="C14" t="s">
        <v>173</v>
      </c>
      <c r="D14" t="s">
        <v>173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/>
      <c r="J14" s="6"/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12</v>
      </c>
      <c r="B15" s="6" t="s">
        <v>66</v>
      </c>
      <c r="C15" t="s">
        <v>174</v>
      </c>
      <c r="D15" t="s">
        <v>174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/>
      <c r="J15" s="6"/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13</v>
      </c>
      <c r="B16" s="6" t="s">
        <v>66</v>
      </c>
      <c r="C16" t="s">
        <v>175</v>
      </c>
      <c r="D16" t="s">
        <v>175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/>
      <c r="J16" s="6"/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14</v>
      </c>
      <c r="B17" s="6" t="s">
        <v>30</v>
      </c>
      <c r="C17" s="6">
        <f>IF($B17="","",IFERROR(INDEX('Типы элементов'!$C:$C,MATCH($B17,'Типы элементов'!$B:$B,0)),""))</f>
        <v>0</v>
      </c>
      <c r="D17" s="6">
        <f>IF($B17="","",IFERROR(INDEX('Типы элементов'!$D:$D,MATCH($B17,'Типы элементов'!$B:$B,0)),""))</f>
        <v>0</v>
      </c>
      <c r="E17" s="6" t="s">
        <v>210</v>
      </c>
      <c r="F17" s="6" t="s">
        <v>210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/>
      <c r="J17" s="6"/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300</v>
      </c>
      <c r="M17" s="6">
        <f>IF($B17="","",IFERROR(INDEX('Типы элементов'!$M:$M,MATCH($B17,'Типы элементов'!$B:$B,0)),""))</f>
        <v>300</v>
      </c>
      <c r="N17" s="6">
        <f>IF($B17="","",IFERROR(INDEX('Типы элементов'!$N:$N,MATCH($B17,'Типы элементов'!$B:$B,0)),""))</f>
        <v>1</v>
      </c>
      <c r="O17" s="6" t="str">
        <f>IF($B17="","",IFERROR(INDEX('Типы элементов'!$O:$O,MATCH($B17,'Типы элементов'!$B:$B,0)),""))</f>
        <v>contain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15</v>
      </c>
      <c r="B18" s="6" t="s">
        <v>27</v>
      </c>
      <c r="C18" t="s">
        <v>179</v>
      </c>
      <c r="D18" t="s">
        <v>179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16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17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18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19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20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21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22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23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24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25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26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27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28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29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30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31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32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33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34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35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36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37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38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39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40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41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42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43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44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45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46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47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48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49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50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51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52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53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54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55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56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57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58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59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60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61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62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63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64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65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66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67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68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69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70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71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72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73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74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75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76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77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78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79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80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81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82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83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84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85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86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87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88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89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90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91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92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93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94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95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96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97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98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99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  <row r="103" spans="1:16">
      <c r="A103" s="6">
        <v>100</v>
      </c>
      <c r="B103" s="6"/>
      <c r="C103" s="6" t="str">
        <f>IF($B103="","",IFERROR(INDEX('Типы элементов'!$C:$C,MATCH($B103,'Типы элементов'!$B:$B,0)),""))</f>
        <v/>
      </c>
      <c r="D103" s="6" t="str">
        <f>IF($B103="","",IFERROR(INDEX('Типы элементов'!$D:$D,MATCH($B103,'Типы элементов'!$B:$B,0)),""))</f>
        <v/>
      </c>
      <c r="E103" s="6" t="str">
        <f>IF($B103="","",IFERROR(INDEX('Типы элементов'!$E:$E,MATCH($B103,'Типы элементов'!$B:$B,0)),""))</f>
        <v/>
      </c>
      <c r="F103" s="6" t="str">
        <f>IF($B103="","",IFERROR(INDEX('Типы элементов'!$F:$F,MATCH($B103,'Типы элементов'!$B:$B,0)),""))</f>
        <v/>
      </c>
      <c r="G103" s="6" t="str">
        <f>IF($B103="","",IFERROR(INDEX('Типы элементов'!$G:$G,MATCH($B103,'Типы элементов'!$B:$B,0)),""))</f>
        <v/>
      </c>
      <c r="H103" s="6" t="str">
        <f>IF($B103="","",IFERROR(INDEX('Типы элементов'!$H:$H,MATCH($B103,'Типы элементов'!$B:$B,0)),""))</f>
        <v/>
      </c>
      <c r="I103" s="6" t="str">
        <f>IF($B103="","",IFERROR(INDEX('Типы элементов'!$I:$I,MATCH($B103,'Типы элементов'!$B:$B,0)),""))</f>
        <v/>
      </c>
      <c r="J103" s="6" t="str">
        <f>IF($B103="","",IFERROR(INDEX('Типы элементов'!$J:$J,MATCH($B103,'Типы элементов'!$B:$B,0)),""))</f>
        <v/>
      </c>
      <c r="K103" s="6" t="str">
        <f>IF($B103="","",IFERROR(INDEX('Типы элементов'!$K:$K,MATCH($B103,'Типы элементов'!$B:$B,0)),""))</f>
        <v/>
      </c>
      <c r="L103" s="6" t="str">
        <f>IF($B103="","",IFERROR(INDEX('Типы элементов'!$L:$L,MATCH($B103,'Типы элементов'!$B:$B,0)),""))</f>
        <v/>
      </c>
      <c r="M103" s="6" t="str">
        <f>IF($B103="","",IFERROR(INDEX('Типы элементов'!$M:$M,MATCH($B103,'Типы элементов'!$B:$B,0)),""))</f>
        <v/>
      </c>
      <c r="N103" s="6" t="str">
        <f>IF($B103="","",IFERROR(INDEX('Типы элементов'!$N:$N,MATCH($B103,'Типы элементов'!$B:$B,0)),""))</f>
        <v/>
      </c>
      <c r="O103" s="6" t="str">
        <f>IF($B103="","",IFERROR(INDEX('Типы элементов'!$O:$O,MATCH($B103,'Типы элементов'!$B:$B,0)),""))</f>
        <v/>
      </c>
      <c r="P103" s="6" t="str">
        <f>IF($B103="","",IFERROR(INDEX('Типы элементов'!$P:$P,MATCH($B103,'Типы элементов'!$B:$B,0)),""))</f>
        <v/>
      </c>
    </row>
  </sheetData>
  <conditionalFormatting sqref="A3:B3 E3:P3 A5:B7 E5:P7 A9:B16 E9:P16 A18:B18 E18:P18 A19:P103">
    <cfRule type="expression" dxfId="48" priority="57">
      <formula>ISNUMBER(SEARCH("text",$B3))</formula>
    </cfRule>
    <cfRule type="expression" dxfId="47" priority="58">
      <formula>ISNUMBER(SEARCH("title",$B3))</formula>
    </cfRule>
    <cfRule type="expression" dxfId="46" priority="59">
      <formula>ISNUMBER(SEARCH("hero",$B3))</formula>
    </cfRule>
    <cfRule type="expression" dxfId="45" priority="60">
      <formula>ISNUMBER(SEARCH("card",$B3))</formula>
    </cfRule>
    <cfRule type="expression" dxfId="44" priority="61">
      <formula>ISNUMBER(SEARCH("carousel",$B3))</formula>
    </cfRule>
    <cfRule type="expression" dxfId="43" priority="62">
      <formula>ISNUMBER(SEARCH("video",$B3))</formula>
    </cfRule>
    <cfRule type="expression" dxfId="42" priority="63">
      <formula>ISNUMBER(SEARCH("image",$B3))</formula>
    </cfRule>
  </conditionalFormatting>
  <conditionalFormatting sqref="A2:P2">
    <cfRule type="expression" dxfId="41" priority="36">
      <formula>ISNUMBER(SEARCH("text",$B2))</formula>
    </cfRule>
    <cfRule type="expression" dxfId="40" priority="37">
      <formula>ISNUMBER(SEARCH("title",$B2))</formula>
    </cfRule>
    <cfRule type="expression" dxfId="39" priority="38">
      <formula>ISNUMBER(SEARCH("hero",$B2))</formula>
    </cfRule>
    <cfRule type="expression" dxfId="38" priority="39">
      <formula>ISNUMBER(SEARCH("card",$B2))</formula>
    </cfRule>
    <cfRule type="expression" dxfId="37" priority="40">
      <formula>ISNUMBER(SEARCH("carousel",$B2))</formula>
    </cfRule>
    <cfRule type="expression" dxfId="36" priority="41">
      <formula>ISNUMBER(SEARCH("video",$B2))</formula>
    </cfRule>
    <cfRule type="expression" dxfId="35" priority="42">
      <formula>ISNUMBER(SEARCH("image",$B2))</formula>
    </cfRule>
  </conditionalFormatting>
  <conditionalFormatting sqref="A4:P4">
    <cfRule type="expression" dxfId="34" priority="50">
      <formula>ISNUMBER(SEARCH("text",$B4))</formula>
    </cfRule>
    <cfRule type="expression" dxfId="33" priority="51">
      <formula>ISNUMBER(SEARCH("title",$B4))</formula>
    </cfRule>
    <cfRule type="expression" dxfId="32" priority="52">
      <formula>ISNUMBER(SEARCH("hero",$B4))</formula>
    </cfRule>
    <cfRule type="expression" dxfId="31" priority="53">
      <formula>ISNUMBER(SEARCH("card",$B4))</formula>
    </cfRule>
    <cfRule type="expression" dxfId="30" priority="54">
      <formula>ISNUMBER(SEARCH("carousel",$B4))</formula>
    </cfRule>
    <cfRule type="expression" dxfId="29" priority="55">
      <formula>ISNUMBER(SEARCH("video",$B4))</formula>
    </cfRule>
    <cfRule type="expression" dxfId="28" priority="56">
      <formula>ISNUMBER(SEARCH("image",$B4))</formula>
    </cfRule>
  </conditionalFormatting>
  <conditionalFormatting sqref="A8:P8">
    <cfRule type="expression" dxfId="27" priority="15">
      <formula>ISNUMBER(SEARCH("text",$B8))</formula>
    </cfRule>
    <cfRule type="expression" dxfId="26" priority="16">
      <formula>ISNUMBER(SEARCH("title",$B8))</formula>
    </cfRule>
    <cfRule type="expression" dxfId="25" priority="17">
      <formula>ISNUMBER(SEARCH("hero",$B8))</formula>
    </cfRule>
    <cfRule type="expression" dxfId="24" priority="18">
      <formula>ISNUMBER(SEARCH("card",$B8))</formula>
    </cfRule>
    <cfRule type="expression" dxfId="23" priority="19">
      <formula>ISNUMBER(SEARCH("carousel",$B8))</formula>
    </cfRule>
    <cfRule type="expression" dxfId="22" priority="20">
      <formula>ISNUMBER(SEARCH("video",$B8))</formula>
    </cfRule>
    <cfRule type="expression" dxfId="21" priority="21">
      <formula>ISNUMBER(SEARCH("image",$B8))</formula>
    </cfRule>
  </conditionalFormatting>
  <conditionalFormatting sqref="A17:P17">
    <cfRule type="expression" dxfId="20" priority="1">
      <formula>ISNUMBER(SEARCH("text",$B17))</formula>
    </cfRule>
    <cfRule type="expression" dxfId="19" priority="2">
      <formula>ISNUMBER(SEARCH("title",$B17))</formula>
    </cfRule>
    <cfRule type="expression" dxfId="18" priority="3">
      <formula>ISNUMBER(SEARCH("hero",$B17))</formula>
    </cfRule>
    <cfRule type="expression" dxfId="17" priority="4">
      <formula>ISNUMBER(SEARCH("card",$B17))</formula>
    </cfRule>
    <cfRule type="expression" dxfId="16" priority="5">
      <formula>ISNUMBER(SEARCH("carousel",$B17))</formula>
    </cfRule>
    <cfRule type="expression" dxfId="15" priority="6">
      <formula>ISNUMBER(SEARCH("video",$B17))</formula>
    </cfRule>
    <cfRule type="expression" dxfId="14" priority="7">
      <formula>ISNUMBER(SEARCH("image",$B17))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3F5C680-2A70-4B4F-B1FC-4B84538B8003}">
          <x14:formula1>
            <xm:f>_helper!$A$1:$A$15</xm:f>
          </x14:formula1>
          <xm:sqref>B2:B103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0EF53-94E4-493F-BF49-4F6F79E8BBA1}">
  <dimension ref="A1:P102"/>
  <sheetViews>
    <sheetView workbookViewId="0">
      <pane ySplit="1" topLeftCell="A2" activePane="bottomLeft" state="frozen"/>
      <selection pane="bottomLeft" activeCell="G33" sqref="G33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/>
      <c r="D2" s="6"/>
      <c r="E2" s="6"/>
      <c r="F2" s="6"/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 t="str">
        <f>IF($B2="","",IFERROR(INDEX('Типы элементов'!$I:$I,MATCH($B2,'Типы элементов'!$B:$B,0)),""))</f>
        <v>Большой баннер вверху (100% ширина)</v>
      </c>
      <c r="J2" s="6" t="str">
        <f>IF($B2="","",IFERROR(INDEX('Типы элементов'!$J:$J,MATCH($B2,'Типы элементов'!$B:$B,0)),""))</f>
        <v>Великий банер зверху (100% ширина)</v>
      </c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 ht="15">
      <c r="A3" s="6">
        <v>2</v>
      </c>
      <c r="B3" s="6" t="s">
        <v>21</v>
      </c>
      <c r="C3" t="s">
        <v>180</v>
      </c>
      <c r="D3" t="s">
        <v>180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  <c r="C4"/>
      <c r="D4"/>
    </row>
    <row r="5" spans="1:16">
      <c r="A5" s="6">
        <v>3</v>
      </c>
      <c r="B5" s="6" t="s">
        <v>27</v>
      </c>
      <c r="C5" t="s">
        <v>181</v>
      </c>
      <c r="D5" t="s">
        <v>181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182</v>
      </c>
      <c r="D6" t="s">
        <v>182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>
        <f>IF($B6="","",IFERROR(INDEX('Типы элементов'!$I:$I,MATCH($B6,'Типы элементов'!$B:$B,0)),""))</f>
        <v>0</v>
      </c>
      <c r="J6" s="6">
        <f>IF($B6="","",IFERROR(INDEX('Типы элементов'!$J:$J,MATCH($B6,'Типы элементов'!$B:$B,0)),""))</f>
        <v>0</v>
      </c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183</v>
      </c>
      <c r="D7" t="s">
        <v>183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>
        <f>IF($B7="","",IFERROR(INDEX('Типы элементов'!$I:$I,MATCH($B7,'Типы элементов'!$B:$B,0)),""))</f>
        <v>0</v>
      </c>
      <c r="J7" s="6">
        <f>IF($B7="","",IFERROR(INDEX('Типы элементов'!$J:$J,MATCH($B7,'Типы элементов'!$B:$B,0)),""))</f>
        <v>0</v>
      </c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66</v>
      </c>
      <c r="C8" t="s">
        <v>184</v>
      </c>
      <c r="D8" t="s">
        <v>184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66</v>
      </c>
      <c r="C9" t="s">
        <v>185</v>
      </c>
      <c r="D9" t="s">
        <v>185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 t="s">
        <v>30</v>
      </c>
      <c r="D10">
        <f>IF($B10="","",IFERROR(INDEX('Типы элементов'!$D:$D,MATCH($B10,'Типы элементов'!$B:$B,0)),""))</f>
        <v>0</v>
      </c>
      <c r="E10" s="6" t="str">
        <f>IF($B10="","",IFERROR(INDEX('Типы элементов'!$E:$E,MATCH($B10,'Типы элементов'!$B:$B,0)),""))</f>
        <v>images/example_ru.jpg</v>
      </c>
      <c r="F10" s="6" t="str">
        <f>IF($B10="","",IFERROR(INDEX('Типы элементов'!$F:$F,MATCH($B10,'Типы элементов'!$B:$B,0)),""))</f>
        <v>images/example_ua.jpg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>
        <f>IF($B10="","",IFERROR(INDEX('Типы элементов'!$I:$I,MATCH($B10,'Типы элементов'!$B:$B,0)),""))</f>
        <v>0</v>
      </c>
      <c r="J10" s="6">
        <f>IF($B10="","",IFERROR(INDEX('Типы элементов'!$J:$J,MATCH($B10,'Типы элементов'!$B:$B,0)),""))</f>
        <v>0</v>
      </c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300</v>
      </c>
      <c r="M10" s="6">
        <f>IF($B10="","",IFERROR(INDEX('Типы элементов'!$M:$M,MATCH($B10,'Типы элементов'!$B:$B,0)),""))</f>
        <v>300</v>
      </c>
      <c r="N10" s="6">
        <f>IF($B10="","",IFERROR(INDEX('Типы элементов'!$N:$N,MATCH($B10,'Типы элементов'!$B:$B,0)),""))</f>
        <v>1</v>
      </c>
      <c r="O10" s="6" t="str">
        <f>IF($B10="","",IFERROR(INDEX('Типы элементов'!$O:$O,MATCH($B10,'Типы элементов'!$B:$B,0)),""))</f>
        <v>contain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</v>
      </c>
      <c r="B11" s="6" t="s">
        <v>27</v>
      </c>
      <c r="C11" t="s">
        <v>196</v>
      </c>
      <c r="D11" t="s">
        <v>196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>
        <f>IF($B11="","",IFERROR(INDEX('Типы элементов'!$I:$I,MATCH($B11,'Типы элементов'!$B:$B,0)),""))</f>
        <v>0</v>
      </c>
      <c r="J11" s="6">
        <f>IF($B11="","",IFERROR(INDEX('Типы элементов'!$J:$J,MATCH($B11,'Типы элементов'!$B:$B,0)),""))</f>
        <v>0</v>
      </c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10</v>
      </c>
      <c r="B12" s="6" t="s">
        <v>27</v>
      </c>
      <c r="C12" t="s">
        <v>197</v>
      </c>
      <c r="D12" t="s">
        <v>197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>
        <f>IF($B12="","",IFERROR(INDEX('Типы элементов'!$I:$I,MATCH($B12,'Типы элементов'!$B:$B,0)),""))</f>
        <v>0</v>
      </c>
      <c r="J12" s="6">
        <f>IF($B12="","",IFERROR(INDEX('Типы элементов'!$J:$J,MATCH($B12,'Типы элементов'!$B:$B,0)),""))</f>
        <v>0</v>
      </c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11</v>
      </c>
      <c r="B13" s="6" t="s">
        <v>30</v>
      </c>
      <c r="E13" s="6" t="str">
        <f>IF($B13="","",IFERROR(INDEX('Типы элементов'!$E:$E,MATCH($B13,'Типы элементов'!$B:$B,0)),""))</f>
        <v>images/example_ru.jpg</v>
      </c>
      <c r="F13" s="6" t="str">
        <f>IF($B13="","",IFERROR(INDEX('Типы элементов'!$F:$F,MATCH($B13,'Типы элементов'!$B:$B,0)),""))</f>
        <v>images/example_ua.jpg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>
        <f>IF($B13="","",IFERROR(INDEX('Типы элементов'!$I:$I,MATCH($B13,'Типы элементов'!$B:$B,0)),""))</f>
        <v>0</v>
      </c>
      <c r="J13" s="6">
        <f>IF($B13="","",IFERROR(INDEX('Типы элементов'!$J:$J,MATCH($B13,'Типы элементов'!$B:$B,0)),""))</f>
        <v>0</v>
      </c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300</v>
      </c>
      <c r="M13" s="6">
        <f>IF($B13="","",IFERROR(INDEX('Типы элементов'!$M:$M,MATCH($B13,'Типы элементов'!$B:$B,0)),""))</f>
        <v>300</v>
      </c>
      <c r="N13" s="6">
        <f>IF($B13="","",IFERROR(INDEX('Типы элементов'!$N:$N,MATCH($B13,'Типы элементов'!$B:$B,0)),""))</f>
        <v>1</v>
      </c>
      <c r="O13" s="6" t="str">
        <f>IF($B13="","",IFERROR(INDEX('Типы элементов'!$O:$O,MATCH($B13,'Типы элементов'!$B:$B,0)),""))</f>
        <v>contain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12</v>
      </c>
      <c r="B14" s="6" t="s">
        <v>24</v>
      </c>
      <c r="C14" t="s">
        <v>198</v>
      </c>
      <c r="D14" t="s">
        <v>198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>
        <f>IF($B14="","",IFERROR(INDEX('Типы элементов'!$I:$I,MATCH($B14,'Типы элементов'!$B:$B,0)),""))</f>
        <v>0</v>
      </c>
      <c r="J14" s="6">
        <f>IF($B14="","",IFERROR(INDEX('Типы элементов'!$J:$J,MATCH($B14,'Типы элементов'!$B:$B,0)),""))</f>
        <v>0</v>
      </c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13</v>
      </c>
      <c r="B15" s="6" t="s">
        <v>27</v>
      </c>
      <c r="C15" t="s">
        <v>199</v>
      </c>
      <c r="D15" t="s">
        <v>199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>
        <f>IF($B15="","",IFERROR(INDEX('Типы элементов'!$I:$I,MATCH($B15,'Типы элементов'!$B:$B,0)),""))</f>
        <v>0</v>
      </c>
      <c r="J15" s="6">
        <f>IF($B15="","",IFERROR(INDEX('Типы элементов'!$J:$J,MATCH($B15,'Типы элементов'!$B:$B,0)),""))</f>
        <v>0</v>
      </c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14</v>
      </c>
      <c r="B16" s="6" t="s">
        <v>66</v>
      </c>
      <c r="C16" t="s">
        <v>200</v>
      </c>
      <c r="D16" t="s">
        <v>200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>
        <f>IF($B16="","",IFERROR(INDEX('Типы элементов'!$I:$I,MATCH($B16,'Типы элементов'!$B:$B,0)),""))</f>
        <v>0</v>
      </c>
      <c r="J16" s="6">
        <f>IF($B16="","",IFERROR(INDEX('Типы элементов'!$J:$J,MATCH($B16,'Типы элементов'!$B:$B,0)),""))</f>
        <v>0</v>
      </c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15</v>
      </c>
      <c r="B17" s="6" t="s">
        <v>66</v>
      </c>
      <c r="C17" t="s">
        <v>201</v>
      </c>
      <c r="D17" t="s">
        <v>201</v>
      </c>
      <c r="E17" s="6">
        <f>IF($B17="","",IFERROR(INDEX('Типы элементов'!$E:$E,MATCH($B17,'Типы элементов'!$B:$B,0)),""))</f>
        <v>0</v>
      </c>
      <c r="F17" s="6">
        <f>IF($B17="","",IFERROR(INDEX('Типы элементов'!$F:$F,MATCH($B17,'Типы элементов'!$B:$B,0)),""))</f>
        <v>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>
        <f>IF($B17="","",IFERROR(INDEX('Типы элементов'!$I:$I,MATCH($B17,'Типы элементов'!$B:$B,0)),""))</f>
        <v>0</v>
      </c>
      <c r="J17" s="6">
        <f>IF($B17="","",IFERROR(INDEX('Типы элементов'!$J:$J,MATCH($B17,'Типы элементов'!$B:$B,0)),""))</f>
        <v>0</v>
      </c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0</v>
      </c>
      <c r="M17" s="6">
        <f>IF($B17="","",IFERROR(INDEX('Типы элементов'!$M:$M,MATCH($B17,'Типы элементов'!$B:$B,0)),""))</f>
        <v>0</v>
      </c>
      <c r="N17" s="6">
        <f>IF($B17="","",IFERROR(INDEX('Типы элементов'!$N:$N,MATCH($B17,'Типы элементов'!$B:$B,0)),""))</f>
        <v>0</v>
      </c>
      <c r="O17" s="6">
        <f>IF($B17="","",IFERROR(INDEX('Типы элементов'!$O:$O,MATCH($B17,'Типы элементов'!$B:$B,0)),""))</f>
        <v>0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16</v>
      </c>
      <c r="B18" s="6" t="s">
        <v>66</v>
      </c>
      <c r="C18" t="s">
        <v>202</v>
      </c>
      <c r="D18" t="s">
        <v>202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17</v>
      </c>
      <c r="B19" s="6" t="s">
        <v>66</v>
      </c>
      <c r="C19" t="s">
        <v>203</v>
      </c>
      <c r="D19" t="s">
        <v>203</v>
      </c>
      <c r="E19" s="6">
        <f>IF($B19="","",IFERROR(INDEX('Типы элементов'!$E:$E,MATCH($B19,'Типы элементов'!$B:$B,0)),""))</f>
        <v>0</v>
      </c>
      <c r="F19" s="6">
        <f>IF($B19="","",IFERROR(INDEX('Типы элементов'!$F:$F,MATCH($B19,'Типы элементов'!$B:$B,0)),""))</f>
        <v>0</v>
      </c>
      <c r="G19" s="6">
        <f>IF($B19="","",IFERROR(INDEX('Типы элементов'!$G:$G,MATCH($B19,'Типы элементов'!$B:$B,0)),""))</f>
        <v>0</v>
      </c>
      <c r="H19" s="6">
        <f>IF($B19="","",IFERROR(INDEX('Типы элементов'!$H:$H,MATCH($B19,'Типы элементов'!$B:$B,0)),""))</f>
        <v>0</v>
      </c>
      <c r="I19" s="6">
        <f>IF($B19="","",IFERROR(INDEX('Типы элементов'!$I:$I,MATCH($B19,'Типы элементов'!$B:$B,0)),""))</f>
        <v>0</v>
      </c>
      <c r="J19" s="6">
        <f>IF($B19="","",IFERROR(INDEX('Типы элементов'!$J:$J,MATCH($B19,'Типы элементов'!$B:$B,0)),""))</f>
        <v>0</v>
      </c>
      <c r="K19" s="6">
        <f>IF($B19="","",IFERROR(INDEX('Типы элементов'!$K:$K,MATCH($B19,'Типы элементов'!$B:$B,0)),""))</f>
        <v>0</v>
      </c>
      <c r="L19" s="6">
        <f>IF($B19="","",IFERROR(INDEX('Типы элементов'!$L:$L,MATCH($B19,'Типы элементов'!$B:$B,0)),""))</f>
        <v>0</v>
      </c>
      <c r="M19" s="6">
        <f>IF($B19="","",IFERROR(INDEX('Типы элементов'!$M:$M,MATCH($B19,'Типы элементов'!$B:$B,0)),""))</f>
        <v>0</v>
      </c>
      <c r="N19" s="6">
        <f>IF($B19="","",IFERROR(INDEX('Типы элементов'!$N:$N,MATCH($B19,'Типы элементов'!$B:$B,0)),""))</f>
        <v>0</v>
      </c>
      <c r="O19" s="6">
        <f>IF($B19="","",IFERROR(INDEX('Типы элементов'!$O:$O,MATCH($B19,'Типы элементов'!$B:$B,0)),""))</f>
        <v>0</v>
      </c>
      <c r="P19" s="6">
        <f>IF($B19="","",IFERROR(INDEX('Типы элементов'!$P:$P,MATCH($B19,'Типы элементов'!$B:$B,0)),""))</f>
        <v>0</v>
      </c>
    </row>
    <row r="20" spans="1:16">
      <c r="A20" s="6">
        <v>11</v>
      </c>
      <c r="B20" s="6" t="s">
        <v>30</v>
      </c>
      <c r="E20" s="6" t="str">
        <f>IF($B20="","",IFERROR(INDEX('Типы элементов'!$E:$E,MATCH($B20,'Типы элементов'!$B:$B,0)),""))</f>
        <v>images/example_ru.jpg</v>
      </c>
      <c r="F20" s="6" t="str">
        <f>IF($B20="","",IFERROR(INDEX('Типы элементов'!$F:$F,MATCH($B20,'Типы элементов'!$B:$B,0)),""))</f>
        <v>images/example_ua.jpg</v>
      </c>
      <c r="G20" s="6">
        <f>IF($B20="","",IFERROR(INDEX('Типы элементов'!$G:$G,MATCH($B20,'Типы элементов'!$B:$B,0)),""))</f>
        <v>0</v>
      </c>
      <c r="H20" s="6">
        <f>IF($B20="","",IFERROR(INDEX('Типы элементов'!$H:$H,MATCH($B20,'Типы элементов'!$B:$B,0)),""))</f>
        <v>0</v>
      </c>
      <c r="I20" s="6">
        <f>IF($B20="","",IFERROR(INDEX('Типы элементов'!$I:$I,MATCH($B20,'Типы элементов'!$B:$B,0)),""))</f>
        <v>0</v>
      </c>
      <c r="J20" s="6">
        <f>IF($B20="","",IFERROR(INDEX('Типы элементов'!$J:$J,MATCH($B20,'Типы элементов'!$B:$B,0)),""))</f>
        <v>0</v>
      </c>
      <c r="K20" s="6">
        <f>IF($B20="","",IFERROR(INDEX('Типы элементов'!$K:$K,MATCH($B20,'Типы элементов'!$B:$B,0)),""))</f>
        <v>0</v>
      </c>
      <c r="L20" s="6">
        <f>IF($B20="","",IFERROR(INDEX('Типы элементов'!$L:$L,MATCH($B20,'Типы элементов'!$B:$B,0)),""))</f>
        <v>300</v>
      </c>
      <c r="M20" s="6">
        <f>IF($B20="","",IFERROR(INDEX('Типы элементов'!$M:$M,MATCH($B20,'Типы элементов'!$B:$B,0)),""))</f>
        <v>300</v>
      </c>
      <c r="N20" s="6">
        <f>IF($B20="","",IFERROR(INDEX('Типы элементов'!$N:$N,MATCH($B20,'Типы элементов'!$B:$B,0)),""))</f>
        <v>1</v>
      </c>
      <c r="O20" s="6" t="str">
        <f>IF($B20="","",IFERROR(INDEX('Типы элементов'!$O:$O,MATCH($B20,'Типы элементов'!$B:$B,0)),""))</f>
        <v>contain</v>
      </c>
      <c r="P20" s="6">
        <f>IF($B20="","",IFERROR(INDEX('Типы элементов'!$P:$P,MATCH($B20,'Типы элементов'!$B:$B,0)),""))</f>
        <v>0</v>
      </c>
    </row>
    <row r="21" spans="1:16">
      <c r="A21" s="6">
        <v>19</v>
      </c>
      <c r="B21" s="6" t="s">
        <v>24</v>
      </c>
      <c r="C21" t="s">
        <v>204</v>
      </c>
      <c r="D21" t="s">
        <v>204</v>
      </c>
      <c r="E21" s="6">
        <f>IF($B21="","",IFERROR(INDEX('Типы элементов'!$E:$E,MATCH($B21,'Типы элементов'!$B:$B,0)),""))</f>
        <v>0</v>
      </c>
      <c r="F21" s="6">
        <f>IF($B21="","",IFERROR(INDEX('Типы элементов'!$F:$F,MATCH($B21,'Типы элементов'!$B:$B,0)),""))</f>
        <v>0</v>
      </c>
      <c r="G21" s="6">
        <f>IF($B21="","",IFERROR(INDEX('Типы элементов'!$G:$G,MATCH($B21,'Типы элементов'!$B:$B,0)),""))</f>
        <v>0</v>
      </c>
      <c r="H21" s="6">
        <f>IF($B21="","",IFERROR(INDEX('Типы элементов'!$H:$H,MATCH($B21,'Типы элементов'!$B:$B,0)),""))</f>
        <v>0</v>
      </c>
      <c r="I21" s="6">
        <f>IF($B21="","",IFERROR(INDEX('Типы элементов'!$I:$I,MATCH($B21,'Типы элементов'!$B:$B,0)),""))</f>
        <v>0</v>
      </c>
      <c r="J21" s="6">
        <f>IF($B21="","",IFERROR(INDEX('Типы элементов'!$J:$J,MATCH($B21,'Типы элементов'!$B:$B,0)),""))</f>
        <v>0</v>
      </c>
      <c r="K21" s="6">
        <f>IF($B21="","",IFERROR(INDEX('Типы элементов'!$K:$K,MATCH($B21,'Типы элементов'!$B:$B,0)),""))</f>
        <v>0</v>
      </c>
      <c r="L21" s="6">
        <f>IF($B21="","",IFERROR(INDEX('Типы элементов'!$L:$L,MATCH($B21,'Типы элементов'!$B:$B,0)),""))</f>
        <v>0</v>
      </c>
      <c r="M21" s="6">
        <f>IF($B21="","",IFERROR(INDEX('Типы элементов'!$M:$M,MATCH($B21,'Типы элементов'!$B:$B,0)),""))</f>
        <v>0</v>
      </c>
      <c r="N21" s="6">
        <f>IF($B21="","",IFERROR(INDEX('Типы элементов'!$N:$N,MATCH($B21,'Типы элементов'!$B:$B,0)),""))</f>
        <v>0</v>
      </c>
      <c r="O21" s="6">
        <f>IF($B21="","",IFERROR(INDEX('Типы элементов'!$O:$O,MATCH($B21,'Типы элементов'!$B:$B,0)),""))</f>
        <v>0</v>
      </c>
      <c r="P21" s="6">
        <f>IF($B21="","",IFERROR(INDEX('Типы элементов'!$P:$P,MATCH($B21,'Типы элементов'!$B:$B,0)),""))</f>
        <v>0</v>
      </c>
    </row>
    <row r="22" spans="1:16">
      <c r="A22" s="6">
        <v>20</v>
      </c>
      <c r="B22" s="6" t="s">
        <v>27</v>
      </c>
      <c r="C22" t="s">
        <v>208</v>
      </c>
      <c r="D22" t="s">
        <v>208</v>
      </c>
      <c r="E22" s="6">
        <f>IF($B22="","",IFERROR(INDEX('Типы элементов'!$E:$E,MATCH($B22,'Типы элементов'!$B:$B,0)),""))</f>
        <v>0</v>
      </c>
      <c r="F22" s="6">
        <f>IF($B22="","",IFERROR(INDEX('Типы элементов'!$F:$F,MATCH($B22,'Типы элементов'!$B:$B,0)),""))</f>
        <v>0</v>
      </c>
      <c r="G22" s="6">
        <f>IF($B22="","",IFERROR(INDEX('Типы элементов'!$G:$G,MATCH($B22,'Типы элементов'!$B:$B,0)),""))</f>
        <v>0</v>
      </c>
      <c r="H22" s="6">
        <f>IF($B22="","",IFERROR(INDEX('Типы элементов'!$H:$H,MATCH($B22,'Типы элементов'!$B:$B,0)),""))</f>
        <v>0</v>
      </c>
      <c r="I22" s="6">
        <f>IF($B22="","",IFERROR(INDEX('Типы элементов'!$I:$I,MATCH($B22,'Типы элементов'!$B:$B,0)),""))</f>
        <v>0</v>
      </c>
      <c r="J22" s="6">
        <f>IF($B22="","",IFERROR(INDEX('Типы элементов'!$J:$J,MATCH($B22,'Типы элементов'!$B:$B,0)),""))</f>
        <v>0</v>
      </c>
      <c r="K22" s="6">
        <f>IF($B22="","",IFERROR(INDEX('Типы элементов'!$K:$K,MATCH($B22,'Типы элементов'!$B:$B,0)),""))</f>
        <v>0</v>
      </c>
      <c r="L22" s="6">
        <f>IF($B22="","",IFERROR(INDEX('Типы элементов'!$L:$L,MATCH($B22,'Типы элементов'!$B:$B,0)),""))</f>
        <v>0</v>
      </c>
      <c r="M22" s="6">
        <f>IF($B22="","",IFERROR(INDEX('Типы элементов'!$M:$M,MATCH($B22,'Типы элементов'!$B:$B,0)),""))</f>
        <v>0</v>
      </c>
      <c r="N22" s="6">
        <f>IF($B22="","",IFERROR(INDEX('Типы элементов'!$N:$N,MATCH($B22,'Типы элементов'!$B:$B,0)),""))</f>
        <v>0</v>
      </c>
      <c r="O22" s="6">
        <f>IF($B22="","",IFERROR(INDEX('Типы элементов'!$O:$O,MATCH($B22,'Типы элементов'!$B:$B,0)),""))</f>
        <v>0</v>
      </c>
      <c r="P22" s="6">
        <f>IF($B22="","",IFERROR(INDEX('Типы элементов'!$P:$P,MATCH($B22,'Типы элементов'!$B:$B,0)),""))</f>
        <v>0</v>
      </c>
    </row>
    <row r="23" spans="1:16">
      <c r="A23" s="6">
        <v>21</v>
      </c>
      <c r="B23" s="6" t="s">
        <v>66</v>
      </c>
      <c r="C23" s="6" t="s">
        <v>205</v>
      </c>
      <c r="D23" s="6" t="s">
        <v>205</v>
      </c>
      <c r="E23" s="6">
        <f>IF($B23="","",IFERROR(INDEX('Типы элементов'!$E:$E,MATCH($B23,'Типы элементов'!$B:$B,0)),""))</f>
        <v>0</v>
      </c>
      <c r="F23" s="6">
        <f>IF($B23="","",IFERROR(INDEX('Типы элементов'!$F:$F,MATCH($B23,'Типы элементов'!$B:$B,0)),""))</f>
        <v>0</v>
      </c>
      <c r="G23" s="6">
        <f>IF($B23="","",IFERROR(INDEX('Типы элементов'!$G:$G,MATCH($B23,'Типы элементов'!$B:$B,0)),""))</f>
        <v>0</v>
      </c>
      <c r="H23" s="6">
        <f>IF($B23="","",IFERROR(INDEX('Типы элементов'!$H:$H,MATCH($B23,'Типы элементов'!$B:$B,0)),""))</f>
        <v>0</v>
      </c>
      <c r="I23" s="6">
        <f>IF($B23="","",IFERROR(INDEX('Типы элементов'!$I:$I,MATCH($B23,'Типы элементов'!$B:$B,0)),""))</f>
        <v>0</v>
      </c>
      <c r="J23" s="6">
        <f>IF($B23="","",IFERROR(INDEX('Типы элементов'!$J:$J,MATCH($B23,'Типы элементов'!$B:$B,0)),""))</f>
        <v>0</v>
      </c>
      <c r="K23" s="6">
        <f>IF($B23="","",IFERROR(INDEX('Типы элементов'!$K:$K,MATCH($B23,'Типы элементов'!$B:$B,0)),""))</f>
        <v>0</v>
      </c>
      <c r="L23" s="6">
        <f>IF($B23="","",IFERROR(INDEX('Типы элементов'!$L:$L,MATCH($B23,'Типы элементов'!$B:$B,0)),""))</f>
        <v>0</v>
      </c>
      <c r="M23" s="6">
        <f>IF($B23="","",IFERROR(INDEX('Типы элементов'!$M:$M,MATCH($B23,'Типы элементов'!$B:$B,0)),""))</f>
        <v>0</v>
      </c>
      <c r="N23" s="6">
        <f>IF($B23="","",IFERROR(INDEX('Типы элементов'!$N:$N,MATCH($B23,'Типы элементов'!$B:$B,0)),""))</f>
        <v>0</v>
      </c>
      <c r="O23" s="6">
        <f>IF($B23="","",IFERROR(INDEX('Типы элементов'!$O:$O,MATCH($B23,'Типы элементов'!$B:$B,0)),""))</f>
        <v>0</v>
      </c>
      <c r="P23" s="6">
        <f>IF($B23="","",IFERROR(INDEX('Типы элементов'!$P:$P,MATCH($B23,'Типы элементов'!$B:$B,0)),""))</f>
        <v>0</v>
      </c>
    </row>
    <row r="24" spans="1:16">
      <c r="A24" s="6">
        <v>22</v>
      </c>
      <c r="B24" s="6" t="s">
        <v>66</v>
      </c>
      <c r="C24" s="6" t="s">
        <v>206</v>
      </c>
      <c r="D24" s="6" t="s">
        <v>206</v>
      </c>
      <c r="E24" s="6">
        <f>IF($B24="","",IFERROR(INDEX('Типы элементов'!$E:$E,MATCH($B24,'Типы элементов'!$B:$B,0)),""))</f>
        <v>0</v>
      </c>
      <c r="F24" s="6">
        <f>IF($B24="","",IFERROR(INDEX('Типы элементов'!$F:$F,MATCH($B24,'Типы элементов'!$B:$B,0)),""))</f>
        <v>0</v>
      </c>
      <c r="G24" s="6">
        <f>IF($B24="","",IFERROR(INDEX('Типы элементов'!$G:$G,MATCH($B24,'Типы элементов'!$B:$B,0)),""))</f>
        <v>0</v>
      </c>
      <c r="H24" s="6">
        <f>IF($B24="","",IFERROR(INDEX('Типы элементов'!$H:$H,MATCH($B24,'Типы элементов'!$B:$B,0)),""))</f>
        <v>0</v>
      </c>
      <c r="I24" s="6">
        <f>IF($B24="","",IFERROR(INDEX('Типы элементов'!$I:$I,MATCH($B24,'Типы элементов'!$B:$B,0)),""))</f>
        <v>0</v>
      </c>
      <c r="J24" s="6">
        <f>IF($B24="","",IFERROR(INDEX('Типы элементов'!$J:$J,MATCH($B24,'Типы элементов'!$B:$B,0)),""))</f>
        <v>0</v>
      </c>
      <c r="K24" s="6">
        <f>IF($B24="","",IFERROR(INDEX('Типы элементов'!$K:$K,MATCH($B24,'Типы элементов'!$B:$B,0)),""))</f>
        <v>0</v>
      </c>
      <c r="L24" s="6">
        <f>IF($B24="","",IFERROR(INDEX('Типы элементов'!$L:$L,MATCH($B24,'Типы элементов'!$B:$B,0)),""))</f>
        <v>0</v>
      </c>
      <c r="M24" s="6">
        <f>IF($B24="","",IFERROR(INDEX('Типы элементов'!$M:$M,MATCH($B24,'Типы элементов'!$B:$B,0)),""))</f>
        <v>0</v>
      </c>
      <c r="N24" s="6">
        <f>IF($B24="","",IFERROR(INDEX('Типы элементов'!$N:$N,MATCH($B24,'Типы элементов'!$B:$B,0)),""))</f>
        <v>0</v>
      </c>
      <c r="O24" s="6">
        <f>IF($B24="","",IFERROR(INDEX('Типы элементов'!$O:$O,MATCH($B24,'Типы элементов'!$B:$B,0)),""))</f>
        <v>0</v>
      </c>
      <c r="P24" s="6">
        <f>IF($B24="","",IFERROR(INDEX('Типы элементов'!$P:$P,MATCH($B24,'Типы элементов'!$B:$B,0)),""))</f>
        <v>0</v>
      </c>
    </row>
    <row r="25" spans="1:16">
      <c r="A25" s="6">
        <v>23</v>
      </c>
      <c r="B25" s="6" t="s">
        <v>66</v>
      </c>
      <c r="C25" s="6" t="s">
        <v>207</v>
      </c>
      <c r="D25" s="6" t="s">
        <v>207</v>
      </c>
      <c r="E25" s="6">
        <f>IF($B25="","",IFERROR(INDEX('Типы элементов'!$E:$E,MATCH($B25,'Типы элементов'!$B:$B,0)),""))</f>
        <v>0</v>
      </c>
      <c r="F25" s="6">
        <f>IF($B25="","",IFERROR(INDEX('Типы элементов'!$F:$F,MATCH($B25,'Типы элементов'!$B:$B,0)),""))</f>
        <v>0</v>
      </c>
      <c r="G25" s="6">
        <f>IF($B25="","",IFERROR(INDEX('Типы элементов'!$G:$G,MATCH($B25,'Типы элементов'!$B:$B,0)),""))</f>
        <v>0</v>
      </c>
      <c r="H25" s="6">
        <f>IF($B25="","",IFERROR(INDEX('Типы элементов'!$H:$H,MATCH($B25,'Типы элементов'!$B:$B,0)),""))</f>
        <v>0</v>
      </c>
      <c r="I25" s="6">
        <f>IF($B25="","",IFERROR(INDEX('Типы элементов'!$I:$I,MATCH($B25,'Типы элементов'!$B:$B,0)),""))</f>
        <v>0</v>
      </c>
      <c r="J25" s="6">
        <f>IF($B25="","",IFERROR(INDEX('Типы элементов'!$J:$J,MATCH($B25,'Типы элементов'!$B:$B,0)),""))</f>
        <v>0</v>
      </c>
      <c r="K25" s="6">
        <f>IF($B25="","",IFERROR(INDEX('Типы элементов'!$K:$K,MATCH($B25,'Типы элементов'!$B:$B,0)),""))</f>
        <v>0</v>
      </c>
      <c r="L25" s="6">
        <f>IF($B25="","",IFERROR(INDEX('Типы элементов'!$L:$L,MATCH($B25,'Типы элементов'!$B:$B,0)),""))</f>
        <v>0</v>
      </c>
      <c r="M25" s="6">
        <f>IF($B25="","",IFERROR(INDEX('Типы элементов'!$M:$M,MATCH($B25,'Типы элементов'!$B:$B,0)),""))</f>
        <v>0</v>
      </c>
      <c r="N25" s="6">
        <f>IF($B25="","",IFERROR(INDEX('Типы элементов'!$N:$N,MATCH($B25,'Типы элементов'!$B:$B,0)),""))</f>
        <v>0</v>
      </c>
      <c r="O25" s="6">
        <f>IF($B25="","",IFERROR(INDEX('Типы элементов'!$O:$O,MATCH($B25,'Типы элементов'!$B:$B,0)),""))</f>
        <v>0</v>
      </c>
      <c r="P25" s="6">
        <f>IF($B25="","",IFERROR(INDEX('Типы элементов'!$P:$P,MATCH($B25,'Типы элементов'!$B:$B,0)),""))</f>
        <v>0</v>
      </c>
    </row>
    <row r="26" spans="1:16">
      <c r="A26" s="6">
        <v>24</v>
      </c>
      <c r="B26" s="6" t="s">
        <v>27</v>
      </c>
      <c r="C26" s="6" t="s">
        <v>209</v>
      </c>
      <c r="D26" s="6" t="s">
        <v>209</v>
      </c>
      <c r="E26" s="6">
        <f>IF($B26="","",IFERROR(INDEX('Типы элементов'!$E:$E,MATCH($B26,'Типы элементов'!$B:$B,0)),""))</f>
        <v>0</v>
      </c>
      <c r="F26" s="6">
        <f>IF($B26="","",IFERROR(INDEX('Типы элементов'!$F:$F,MATCH($B26,'Типы элементов'!$B:$B,0)),""))</f>
        <v>0</v>
      </c>
      <c r="G26" s="6">
        <f>IF($B26="","",IFERROR(INDEX('Типы элементов'!$G:$G,MATCH($B26,'Типы элементов'!$B:$B,0)),""))</f>
        <v>0</v>
      </c>
      <c r="H26" s="6">
        <f>IF($B26="","",IFERROR(INDEX('Типы элементов'!$H:$H,MATCH($B26,'Типы элементов'!$B:$B,0)),""))</f>
        <v>0</v>
      </c>
      <c r="I26" s="6">
        <f>IF($B26="","",IFERROR(INDEX('Типы элементов'!$I:$I,MATCH($B26,'Типы элементов'!$B:$B,0)),""))</f>
        <v>0</v>
      </c>
      <c r="J26" s="6">
        <f>IF($B26="","",IFERROR(INDEX('Типы элементов'!$J:$J,MATCH($B26,'Типы элементов'!$B:$B,0)),""))</f>
        <v>0</v>
      </c>
      <c r="K26" s="6">
        <f>IF($B26="","",IFERROR(INDEX('Типы элементов'!$K:$K,MATCH($B26,'Типы элементов'!$B:$B,0)),""))</f>
        <v>0</v>
      </c>
      <c r="L26" s="6">
        <f>IF($B26="","",IFERROR(INDEX('Типы элементов'!$L:$L,MATCH($B26,'Типы элементов'!$B:$B,0)),""))</f>
        <v>0</v>
      </c>
      <c r="M26" s="6">
        <f>IF($B26="","",IFERROR(INDEX('Типы элементов'!$M:$M,MATCH($B26,'Типы элементов'!$B:$B,0)),""))</f>
        <v>0</v>
      </c>
      <c r="N26" s="6">
        <f>IF($B26="","",IFERROR(INDEX('Типы элементов'!$N:$N,MATCH($B26,'Типы элементов'!$B:$B,0)),""))</f>
        <v>0</v>
      </c>
      <c r="O26" s="6">
        <f>IF($B26="","",IFERROR(INDEX('Типы элементов'!$O:$O,MATCH($B26,'Типы элементов'!$B:$B,0)),""))</f>
        <v>0</v>
      </c>
      <c r="P26" s="6">
        <f>IF($B26="","",IFERROR(INDEX('Типы элементов'!$P:$P,MATCH($B26,'Типы элементов'!$B:$B,0)),""))</f>
        <v>0</v>
      </c>
    </row>
    <row r="27" spans="1:16">
      <c r="A27" s="6">
        <v>11</v>
      </c>
      <c r="B27" s="6" t="s">
        <v>30</v>
      </c>
      <c r="E27" s="6" t="str">
        <f>IF($B27="","",IFERROR(INDEX('Типы элементов'!$E:$E,MATCH($B27,'Типы элементов'!$B:$B,0)),""))</f>
        <v>images/example_ru.jpg</v>
      </c>
      <c r="F27" s="6" t="str">
        <f>IF($B27="","",IFERROR(INDEX('Типы элементов'!$F:$F,MATCH($B27,'Типы элементов'!$B:$B,0)),""))</f>
        <v>images/example_ua.jpg</v>
      </c>
      <c r="G27" s="6">
        <f>IF($B27="","",IFERROR(INDEX('Типы элементов'!$G:$G,MATCH($B27,'Типы элементов'!$B:$B,0)),""))</f>
        <v>0</v>
      </c>
      <c r="H27" s="6">
        <f>IF($B27="","",IFERROR(INDEX('Типы элементов'!$H:$H,MATCH($B27,'Типы элементов'!$B:$B,0)),""))</f>
        <v>0</v>
      </c>
      <c r="I27" s="6">
        <f>IF($B27="","",IFERROR(INDEX('Типы элементов'!$I:$I,MATCH($B27,'Типы элементов'!$B:$B,0)),""))</f>
        <v>0</v>
      </c>
      <c r="J27" s="6">
        <f>IF($B27="","",IFERROR(INDEX('Типы элементов'!$J:$J,MATCH($B27,'Типы элементов'!$B:$B,0)),""))</f>
        <v>0</v>
      </c>
      <c r="K27" s="6">
        <f>IF($B27="","",IFERROR(INDEX('Типы элементов'!$K:$K,MATCH($B27,'Типы элементов'!$B:$B,0)),""))</f>
        <v>0</v>
      </c>
      <c r="L27" s="6">
        <f>IF($B27="","",IFERROR(INDEX('Типы элементов'!$L:$L,MATCH($B27,'Типы элементов'!$B:$B,0)),""))</f>
        <v>300</v>
      </c>
      <c r="M27" s="6">
        <f>IF($B27="","",IFERROR(INDEX('Типы элементов'!$M:$M,MATCH($B27,'Типы элементов'!$B:$B,0)),""))</f>
        <v>300</v>
      </c>
      <c r="N27" s="6">
        <f>IF($B27="","",IFERROR(INDEX('Типы элементов'!$N:$N,MATCH($B27,'Типы элементов'!$B:$B,0)),""))</f>
        <v>1</v>
      </c>
      <c r="O27" s="6" t="str">
        <f>IF($B27="","",IFERROR(INDEX('Типы элементов'!$O:$O,MATCH($B27,'Типы элементов'!$B:$B,0)),""))</f>
        <v>contain</v>
      </c>
      <c r="P27" s="6">
        <f>IF($B27="","",IFERROR(INDEX('Типы элементов'!$P:$P,MATCH($B27,'Типы элементов'!$B:$B,0)),""))</f>
        <v>0</v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P10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conditionalFormatting sqref="E11:P11 A11:B19 D12:P12 C13:P14 E15:P19 A20:P20 A21:B22 E21:P22 A23:P102">
    <cfRule type="expression" dxfId="6" priority="8">
      <formula>ISNUMBER(SEARCH("text",$B11))</formula>
    </cfRule>
    <cfRule type="expression" dxfId="5" priority="9">
      <formula>ISNUMBER(SEARCH("title",$B11))</formula>
    </cfRule>
    <cfRule type="expression" dxfId="4" priority="10">
      <formula>ISNUMBER(SEARCH("hero",$B11))</formula>
    </cfRule>
    <cfRule type="expression" dxfId="3" priority="11">
      <formula>ISNUMBER(SEARCH("card",$B11))</formula>
    </cfRule>
    <cfRule type="expression" dxfId="2" priority="12">
      <formula>ISNUMBER(SEARCH("carousel",$B11))</formula>
    </cfRule>
    <cfRule type="expression" dxfId="1" priority="13">
      <formula>ISNUMBER(SEARCH("video",$B11))</formula>
    </cfRule>
    <cfRule type="expression" dxfId="0" priority="14">
      <formula>ISNUMBER(SEARCH("image",$B11))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B6596A43-5FC2-403F-9232-D44EA528B072}">
          <x14:formula1>
            <xm:f>_helper!$A$1:$A$15</xm:f>
          </x14:formula1>
          <xm:sqref>B2:B102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_helper</vt:lpstr>
      <vt:lpstr>Типы элементов</vt:lpstr>
      <vt:lpstr>РАБОЧАЯ СТРАНИЦА</vt:lpstr>
      <vt:lpstr>index</vt:lpstr>
      <vt:lpstr>skin</vt:lpstr>
      <vt:lpstr>pigment</vt:lpstr>
      <vt:lpstr>equipment</vt:lpstr>
      <vt:lpstr>cartriges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2026-05-21T14:51:05Z</dcterms:modified>
</cp:coreProperties>
</file>