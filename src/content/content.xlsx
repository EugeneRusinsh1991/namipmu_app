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82FE2D25-5567-4EBF-9DB6-96D743C11C68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3" i="7" l="1"/>
  <c r="O43" i="7"/>
  <c r="N43" i="7"/>
  <c r="M43" i="7"/>
  <c r="L43" i="7"/>
  <c r="D43" i="7"/>
  <c r="C43" i="7"/>
  <c r="C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H9" i="10"/>
  <c r="G9" i="10"/>
  <c r="F9" i="10"/>
  <c r="E9" i="10"/>
  <c r="P8" i="10"/>
  <c r="O8" i="10"/>
  <c r="N8" i="10"/>
  <c r="M8" i="10"/>
  <c r="L8" i="10"/>
  <c r="K8" i="10"/>
  <c r="H8" i="10"/>
  <c r="G8" i="10"/>
  <c r="F8" i="10"/>
  <c r="E8" i="10"/>
  <c r="P7" i="10"/>
  <c r="O7" i="10"/>
  <c r="N7" i="10"/>
  <c r="M7" i="10"/>
  <c r="L7" i="10"/>
  <c r="K7" i="10"/>
  <c r="J7" i="10"/>
  <c r="I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H5" i="10"/>
  <c r="G5" i="10"/>
  <c r="F5" i="10"/>
  <c r="E5" i="10"/>
  <c r="P4" i="10"/>
  <c r="O4" i="10"/>
  <c r="N4" i="10"/>
  <c r="M4" i="10"/>
  <c r="L4" i="10"/>
  <c r="K4" i="10"/>
  <c r="J4" i="10"/>
  <c r="I4" i="10"/>
  <c r="H4" i="10"/>
  <c r="G4" i="10"/>
  <c r="F4" i="10"/>
  <c r="E4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F2" i="10"/>
  <c r="E2" i="10"/>
  <c r="D2" i="10"/>
  <c r="E10" i="2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K9" i="5"/>
  <c r="J9" i="5"/>
  <c r="I9" i="5"/>
  <c r="H9" i="5"/>
  <c r="G9" i="5"/>
  <c r="F9" i="5"/>
  <c r="E9" i="5"/>
  <c r="D9" i="5"/>
  <c r="C9" i="5"/>
  <c r="D8" i="5"/>
  <c r="C8" i="5"/>
  <c r="D7" i="5"/>
  <c r="C7" i="5"/>
  <c r="D6" i="5"/>
  <c r="C6" i="5"/>
  <c r="K5" i="5"/>
  <c r="J5" i="5"/>
  <c r="I5" i="5"/>
  <c r="H5" i="5"/>
  <c r="G5" i="5"/>
  <c r="F5" i="5"/>
  <c r="E5" i="5"/>
  <c r="D5" i="5"/>
  <c r="C5" i="5"/>
  <c r="K4" i="5"/>
  <c r="J4" i="5"/>
  <c r="I4" i="5"/>
  <c r="H4" i="5"/>
  <c r="G4" i="5"/>
  <c r="F4" i="5"/>
  <c r="E4" i="5"/>
  <c r="D4" i="5"/>
  <c r="C4" i="5"/>
  <c r="K3" i="5"/>
  <c r="J3" i="5"/>
  <c r="I3" i="5"/>
  <c r="H3" i="5"/>
  <c r="G3" i="5"/>
  <c r="F3" i="5"/>
  <c r="E3" i="5"/>
  <c r="D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<sst xmlns="http://schemas.openxmlformats.org/spreadsheetml/2006/main" count="2690" uniqueCount="181">
  <si>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</si>
  <si>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</si>
  <si>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</si>
  <si>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</si>
  <si>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</si>
  <si>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</si>
  <si>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</si>
  <si>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</si>
  <si>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</si>
  <si>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</si>
  <si>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</si>
  <si>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</si>
  <si>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</si>
  <si>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</si>
  <si>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</si>
  <si>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</si>
  <si>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</si>
  <si>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</si>
  <si>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</si>
  <si>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</si>
  <si>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</si>
  <si>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</si>
  <si>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</si>
  <si>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</si>
  <si>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</si>
  <si>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</si>
  <si>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</si>
  <si>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</si>
  <si>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</si>
  <si>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</si>
  <si>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</si>
  <si>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</si>
  <si>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</si>
  <si>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</si>
  <si>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</si>
  <si>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</si>
  <si>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</si>
  <si>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</si>
  <si>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</si>
  <si>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</si>
  <si>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</si>
  <si>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</si>
  <si>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</si>
  <si>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</si>
  <si>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</si>
  <si>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</si>
  <si>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</si>
  <si>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</si>
  <si>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</si>
  <si>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</si>
  <si>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</si>
  <si>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</si>
  <si>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</si>
  <si>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</si>
  <si>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</si>
  <si>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</si>
  <si>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</si>
  <si>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</si>
  <si>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</si>
  <si>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</si>
  <si>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</si>
  <si>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</si>
  <si>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</si>
  <si>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</si>
  <si>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</si>
  <si>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</si>
  <si>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</si>
  <si>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</si>
  <si>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</si>
  <si>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</si>
  <si>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</si>
  <si>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</si>
  <si>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</si>
  <si>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</si>
  <si>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</si>
  <si>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</si>
  <si>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</si>
  <si>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</si>
  <si>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</si>
  <si>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</si>
  <si>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</si>
  <si>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</si>
  <si>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</si>
  <si>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</si>
  <si>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</si>
  <si>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</si>
  <si>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</si>
  <si>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</si>
  <si>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</si>
  <si>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</si>
  <si>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</si>
  <si>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</si>
  <si>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</si>
  <si>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</si>
  <si>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</si>
  <si>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</si>
  <si>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</si>
  <si>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</si>
  <si>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</si>
  <si>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</si>
  <si>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</si>
  <si>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</si>
  <si>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</si>
  <si>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</si>
  <si>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</si>
  <si>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</si>
  <si>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</si>
  <si>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</si>
  <si>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</si>
  <si>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</si>
  <si>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</si>
  <si>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</si>
  <si>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</si>
  <si>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</si>
  <si>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</si>
  <si>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</si>
  <si>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</si>
  <si>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</si>
  <si>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</si>
  <si>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</si>
  <si>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</si>
  <si>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</si>
  <si>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</si>
  <si>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</si>
  <si>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</si>
  <si>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</si>
  <si>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</si>
  <si>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</si>
  <si>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</si>
  <si>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</si>
  <si>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</si>
  <si>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</si>
  <si>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</si>
  <si>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</si>
  <si>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</si>
  <si>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</si>
  <si>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</si>
  <si>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</si>
  <si>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</si>
  <si>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</si>
  <si>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</si>
  <si>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</si>
  <si>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</si>
  <si>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</si>
  <si>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</si>
  <si>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</si>
  <si>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</si>
  <si>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</si>
  <si>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</si>
  <si>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</si>
  <si>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</si>
  <si>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</si>
  <si>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</si>
  <si>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</si>
  <si>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</si>
  <si>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</si>
  <si>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</si>
  <si>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</si>
  <si>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</si>
  <si>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</si>
  <si>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</si>
  <si>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</si>
  <si>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</si>
  <si>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</si>
  <si>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</si>
  <si>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</si>
  <si>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</si>
  <si>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</si>
  <si>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</si>
  <si>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</si>
  <si>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</si>
  <si>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</si>
  <si>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</si>
  <si>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</si>
  <si>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</si>
  <si>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</si>
  <si>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</si>
  <si>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</si>
  <si>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</si>
  <si>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</si>
  <si>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следующий урок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</si>
</sst>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44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115" zoomScaleNormal="115" workbookViewId="0">
      <selection activeCell="C8" sqref="C8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C13" t="s">
        <v>178</v>
      </c>
      <c r="D13" t="s">
        <v>179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43" priority="1" operator="containsText" text="image">
      <formula>NOT(ISERROR(SEARCH("image",B1)))</formula>
    </cfRule>
    <cfRule type="containsText" dxfId="42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41" priority="1">
      <formula>ISNUMBER(SEARCH("text",$B2))</formula>
    </cfRule>
    <cfRule type="expression" dxfId="40" priority="2">
      <formula>ISNUMBER(SEARCH("title",$B2))</formula>
    </cfRule>
    <cfRule type="expression" dxfId="39" priority="3">
      <formula>ISNUMBER(SEARCH("hero",$B2))</formula>
    </cfRule>
    <cfRule type="expression" dxfId="38" priority="4">
      <formula>ISNUMBER(SEARCH("card",$B2))</formula>
    </cfRule>
    <cfRule type="expression" dxfId="37" priority="5">
      <formula>ISNUMBER(SEARCH("carousel",$B2))</formula>
    </cfRule>
    <cfRule type="expression" dxfId="36" priority="6">
      <formula>ISNUMBER(SEARCH("video",$B2))</formula>
    </cfRule>
    <cfRule type="expression" dxfId="35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A7" sqref="A7:XFD7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 t="s">
        <v>124</v>
      </c>
      <c r="F2" s="9" t="s">
        <v>124</v>
      </c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/>
      </c>
      <c r="D3" s="9" t="str">
        <f>IF($B3="","",IFERROR(VLOOKUP($B3,'Типы элементов'!$A$2:$J$15,3,FALSE),""))</f>
        <v/>
      </c>
      <c r="E3" s="9" t="str">
        <f>IF($B3="","",IFERROR(VLOOKUP($B3,'Типы элементов'!$A$2:$J$15,4,FALSE),""))</f>
        <v/>
      </c>
      <c r="F3" s="9" t="str">
        <f>IF($B3="","",IFERROR(VLOOKUP($B3,'Типы элементов'!$A$2:$J$15,5,FALSE),""))</f>
        <v/>
      </c>
      <c r="G3" s="9" t="str">
        <f>IF($B3="","",IFERROR(VLOOKUP($B3,'Типы элементов'!$A$2:$J$15,6,FALSE),""))</f>
        <v/>
      </c>
      <c r="H3" s="9" t="str">
        <f>IF($B3="","",IFERROR(VLOOKUP($B3,'Типы элементов'!$A$2:$J$15,7,FALSE),""))</f>
        <v/>
      </c>
      <c r="I3" s="9" t="str">
        <f>IF($B3="","",IFERROR(VLOOKUP($B3,'Типы элементов'!$A$2:$J$15,8,FALSE),""))</f>
        <v/>
      </c>
      <c r="J3" s="9" t="str">
        <f>IF($B3="","",IFERROR(VLOOKUP($B3,'Типы элементов'!$A$2:$J$15,9,FALSE),""))</f>
        <v/>
      </c>
      <c r="K3" s="10" t="str">
        <f>IF($B3="","",IFERROR(VLOOKUP($B3,'Типы элементов'!$A$2:$J$15,10,FALSE),""))</f>
        <v/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/>
      </c>
      <c r="D4" s="9" t="str">
        <f>IF($B4="","",IFERROR(VLOOKUP($B4,'Типы элементов'!$A$2:$J$15,3,FALSE),""))</f>
        <v/>
      </c>
      <c r="E4" s="9" t="str">
        <f>IF($B4="","",IFERROR(VLOOKUP($B4,'Типы элементов'!$A$2:$J$15,4,FALSE),""))</f>
        <v/>
      </c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/>
      </c>
      <c r="D5" s="9" t="str">
        <f>IF($B5="","",IFERROR(VLOOKUP($B5,'Типы элементов'!$A$2:$J$15,3,FALSE),""))</f>
        <v/>
      </c>
      <c r="E5" s="9" t="str">
        <f>IF($B5="","",IFERROR(VLOOKUP($B5,'Типы элементов'!$A$2:$J$15,4,FALSE),""))</f>
        <v/>
      </c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 t="str">
        <f>IF($B6="","",IFERROR(VLOOKUP($B6,'Типы элементов'!$A$2:$J$15,2,FALSE),""))</f>
        <v/>
      </c>
      <c r="D6" s="9" t="str">
        <f>IF($B6="","",IFERROR(VLOOKUP($B6,'Типы элементов'!$A$2:$J$15,3,FALSE),""))</f>
        <v/>
      </c>
      <c r="E6" s="9" t="s">
        <v>124</v>
      </c>
      <c r="F6" s="9" t="s">
        <v>124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124</v>
      </c>
      <c r="F7" s="9" t="s">
        <v>124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 t="s">
        <v>36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124</v>
      </c>
      <c r="F8" s="9" t="s">
        <v>124</v>
      </c>
      <c r="G8" s="9" t="s">
        <v>165</v>
      </c>
      <c r="H8" s="9" t="s">
        <v>165</v>
      </c>
      <c r="I8" s="9" t="s">
        <v>165</v>
      </c>
      <c r="J8" s="9" t="s">
        <v>165</v>
      </c>
      <c r="K8" s="10" t="s">
        <v>169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8</v>
      </c>
      <c r="B9" s="6"/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tr">
        <f>IF($B9="","",IFERROR(VLOOKUP($B9,'Типы элементов'!$A$2:$J$15,4,FALSE),""))</f>
        <v/>
      </c>
      <c r="F9" s="9" t="str">
        <f>IF($B9="","",IFERROR(VLOOKUP($B9,'Типы элементов'!$A$2:$J$15,5,FALSE),""))</f>
        <v/>
      </c>
      <c r="G9" s="9" t="str">
        <f>IF($B9="","",IFERROR(VLOOKUP($B9,'Типы элементов'!$A$2:$J$15,6,FALSE),""))</f>
        <v/>
      </c>
      <c r="H9" s="9" t="str">
        <f>IF($B9="","",IFERROR(VLOOKUP($B9,'Типы элементов'!$A$2:$J$15,7,FALSE),""))</f>
        <v/>
      </c>
      <c r="I9" s="9" t="str">
        <f>IF($B9="","",IFERROR(VLOOKUP($B9,'Типы элементов'!$A$2:$J$15,8,FALSE),""))</f>
        <v/>
      </c>
      <c r="J9" s="9" t="str">
        <f>IF($B9="","",IFERROR(VLOOKUP($B9,'Типы элементов'!$A$2:$J$15,9,FALSE),""))</f>
        <v/>
      </c>
      <c r="K9" s="10" t="str">
        <f>IF($B9="","",IFERROR(VLOOKUP($B9,'Типы элементов'!$A$2:$J$15,10,FALSE),""))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7 A9:P101 A8:F8 G6:H8 I8:P8">
    <cfRule type="expression" dxfId="34" priority="1">
      <formula>ISNUMBER(SEARCH("text",$B2))</formula>
    </cfRule>
    <cfRule type="expression" dxfId="33" priority="2">
      <formula>ISNUMBER(SEARCH("title",$B2))</formula>
    </cfRule>
    <cfRule type="expression" dxfId="32" priority="3">
      <formula>ISNUMBER(SEARCH("hero",$B2))</formula>
    </cfRule>
    <cfRule type="expression" dxfId="31" priority="4">
      <formula>ISNUMBER(SEARCH("card",$B2))</formula>
    </cfRule>
    <cfRule type="expression" dxfId="30" priority="5">
      <formula>ISNUMBER(SEARCH("carousel",$B2))</formula>
    </cfRule>
    <cfRule type="expression" dxfId="29" priority="6">
      <formula>ISNUMBER(SEARCH("video",$B2))</formula>
    </cfRule>
    <cfRule type="expression" dxfId="28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6"/>
  <sheetViews>
    <sheetView tabSelected="1" workbookViewId="0">
      <pane ySplit="1" topLeftCell="A8" activePane="bottomLeft" state="frozen"/>
      <selection pane="bottomLeft" activeCell="D43" sqref="D43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6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6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6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6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6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6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6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6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6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6">
      <c r="A42" s="6">
        <v>38</v>
      </c>
      <c r="B42" s="6" t="s">
        <v>27</v>
      </c>
      <c r="C42" s="6" t="s">
        <v>180</v>
      </c>
      <c r="D42" s="6" t="s">
        <v>180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</row>
    <row r="43" spans="1:16" customFormat="1" ht="15">
      <c r="A43" s="6">
        <v>6</v>
      </c>
      <c r="B43" s="6" t="s">
        <v>36</v>
      </c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">
        <v>124</v>
      </c>
      <c r="F43" s="9" t="s">
        <v>124</v>
      </c>
      <c r="G43" s="9" t="s">
        <v>83</v>
      </c>
      <c r="H43" s="9" t="s">
        <v>83</v>
      </c>
      <c r="I43" s="9" t="s">
        <v>83</v>
      </c>
      <c r="J43" s="9" t="s">
        <v>83</v>
      </c>
      <c r="K43" s="9" t="s">
        <v>84</v>
      </c>
      <c r="L43" s="6">
        <f>IF($B43="","",IFERROR(INDEX('Типы элементов'!$L:$L,MATCH($B43,'Типы элементов'!$B:$B,0)),""))</f>
        <v>0</v>
      </c>
      <c r="M43" s="6">
        <f>IF($B43="","",IFERROR(INDEX('Типы элементов'!$M:$M,MATCH($B43,'Типы элементов'!$B:$B,0)),""))</f>
        <v>0</v>
      </c>
      <c r="N43" s="6">
        <f>IF($B43="","",IFERROR(INDEX('Типы элементов'!$N:$N,MATCH($B43,'Типы элементов'!$B:$B,0)),""))</f>
        <v>0</v>
      </c>
      <c r="O43" s="6">
        <f>IF($B43="","",IFERROR(INDEX('Типы элементов'!$O:$O,MATCH($B43,'Типы элементов'!$B:$B,0)),""))</f>
        <v>0</v>
      </c>
      <c r="P43" s="6">
        <f>IF($B43="","",IFERROR(INDEX('Типы элементов'!$P:$P,MATCH($B43,'Типы элементов'!$B:$B,0)),""))</f>
        <v>0</v>
      </c>
    </row>
    <row r="44" spans="1:16">
      <c r="A44" s="6">
        <v>43</v>
      </c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</row>
    <row r="45" spans="1:16">
      <c r="A45" s="6">
        <v>44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6">
      <c r="A46" s="6">
        <v>45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6">
      <c r="A47" s="6">
        <v>46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6">
      <c r="A48" s="6">
        <v>47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48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49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50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51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52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53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54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55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56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57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58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59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60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61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62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63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64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65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66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67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68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69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70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71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72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73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74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75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76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77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78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79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80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81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82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83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84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85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86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87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88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89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90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91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92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93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94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95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96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97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98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99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A101" s="6">
        <v>100</v>
      </c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  <row r="166" spans="3:11">
      <c r="C166" s="6" t="s">
        <v>123</v>
      </c>
      <c r="D166" s="6" t="s">
        <v>123</v>
      </c>
      <c r="E166" s="6" t="s">
        <v>123</v>
      </c>
      <c r="F166" s="6" t="s">
        <v>123</v>
      </c>
      <c r="G166" s="6" t="s">
        <v>123</v>
      </c>
      <c r="H166" s="6" t="s">
        <v>123</v>
      </c>
      <c r="I166" s="6" t="s">
        <v>123</v>
      </c>
      <c r="J166" s="6" t="s">
        <v>123</v>
      </c>
      <c r="K166" s="6" t="s">
        <v>123</v>
      </c>
    </row>
  </sheetData>
  <conditionalFormatting sqref="A44:P101 A2:P42">
    <cfRule type="expression" dxfId="27" priority="8">
      <formula>ISNUMBER(SEARCH("text",$B2))</formula>
    </cfRule>
    <cfRule type="expression" dxfId="26" priority="9">
      <formula>ISNUMBER(SEARCH("title",$B2))</formula>
    </cfRule>
    <cfRule type="expression" dxfId="25" priority="10">
      <formula>ISNUMBER(SEARCH("hero",$B2))</formula>
    </cfRule>
    <cfRule type="expression" dxfId="24" priority="11">
      <formula>ISNUMBER(SEARCH("card",$B2))</formula>
    </cfRule>
    <cfRule type="expression" dxfId="23" priority="12">
      <formula>ISNUMBER(SEARCH("carousel",$B2))</formula>
    </cfRule>
    <cfRule type="expression" dxfId="22" priority="13">
      <formula>ISNUMBER(SEARCH("video",$B2))</formula>
    </cfRule>
    <cfRule type="expression" dxfId="21" priority="14">
      <formula>ISNUMBER(SEARCH("image",$B2))</formula>
    </cfRule>
  </conditionalFormatting>
  <conditionalFormatting sqref="A43:P43">
    <cfRule type="expression" dxfId="20" priority="1">
      <formula>ISNUMBER(SEARCH("text",$B43))</formula>
    </cfRule>
    <cfRule type="expression" dxfId="19" priority="2">
      <formula>ISNUMBER(SEARCH("title",$B43))</formula>
    </cfRule>
    <cfRule type="expression" dxfId="18" priority="3">
      <formula>ISNUMBER(SEARCH("hero",$B43))</formula>
    </cfRule>
    <cfRule type="expression" dxfId="17" priority="4">
      <formula>ISNUMBER(SEARCH("card",$B43))</formula>
    </cfRule>
    <cfRule type="expression" dxfId="16" priority="5">
      <formula>ISNUMBER(SEARCH("carousel",$B43))</formula>
    </cfRule>
    <cfRule type="expression" dxfId="15" priority="6">
      <formula>ISNUMBER(SEARCH("video",$B43))</formula>
    </cfRule>
    <cfRule type="expression" dxfId="14" priority="7">
      <formula>ISNUMBER(SEARCH("image",$B43))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B2:B101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6"/>
  <sheetViews>
    <sheetView workbookViewId="0">
      <pane ySplit="1" topLeftCell="A16" activePane="bottomLeft" state="frozen"/>
      <selection pane="bottomLeft" activeCell="C24" sqref="C24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125</v>
      </c>
      <c r="D3" s="6" t="s">
        <v>125</v>
      </c>
      <c r="E3" s="6" t="s">
        <v>123</v>
      </c>
      <c r="F3" s="6" t="s">
        <v>123</v>
      </c>
      <c r="G3" s="6" t="s">
        <v>123</v>
      </c>
      <c r="H3" s="6" t="s">
        <v>123</v>
      </c>
      <c r="I3" s="6" t="s">
        <v>123</v>
      </c>
      <c r="J3" s="6" t="s">
        <v>123</v>
      </c>
      <c r="K3" s="6" t="s">
        <v>123</v>
      </c>
      <c r="L3" s="6"/>
      <c r="M3" s="6"/>
      <c r="N3" s="6"/>
      <c r="O3" s="6"/>
    </row>
    <row r="4" spans="1:16">
      <c r="A4" s="6">
        <v>43</v>
      </c>
      <c r="B4" s="6" t="s">
        <v>27</v>
      </c>
      <c r="C4" t="s">
        <v>126</v>
      </c>
      <c r="D4" t="s">
        <v>126</v>
      </c>
      <c r="E4" s="6" t="s">
        <v>123</v>
      </c>
      <c r="F4" s="6" t="s">
        <v>123</v>
      </c>
      <c r="G4" s="6" t="s">
        <v>123</v>
      </c>
      <c r="H4" s="6" t="s">
        <v>123</v>
      </c>
      <c r="I4" s="6" t="s">
        <v>123</v>
      </c>
      <c r="J4" s="6" t="s">
        <v>123</v>
      </c>
      <c r="K4" s="6" t="s">
        <v>123</v>
      </c>
      <c r="L4" s="6"/>
      <c r="M4" s="6"/>
      <c r="N4" s="6"/>
      <c r="O4" s="6"/>
    </row>
    <row r="5" spans="1:16">
      <c r="A5" s="6">
        <v>44</v>
      </c>
      <c r="B5" s="6" t="s">
        <v>68</v>
      </c>
      <c r="C5" t="s">
        <v>127</v>
      </c>
      <c r="D5" t="s">
        <v>127</v>
      </c>
      <c r="E5" s="6" t="s">
        <v>123</v>
      </c>
      <c r="F5" s="6" t="s">
        <v>123</v>
      </c>
      <c r="G5" s="6" t="s">
        <v>123</v>
      </c>
      <c r="H5" s="6" t="s">
        <v>123</v>
      </c>
      <c r="I5" s="6" t="s">
        <v>123</v>
      </c>
      <c r="J5" s="6" t="s">
        <v>123</v>
      </c>
      <c r="K5" s="6" t="s">
        <v>123</v>
      </c>
      <c r="L5" s="6"/>
      <c r="M5" s="6"/>
      <c r="N5" s="6"/>
      <c r="O5" s="6"/>
    </row>
    <row r="6" spans="1:16">
      <c r="A6" s="6">
        <v>45</v>
      </c>
      <c r="B6" s="6" t="s">
        <v>68</v>
      </c>
      <c r="C6" t="s">
        <v>128</v>
      </c>
      <c r="D6" t="s">
        <v>128</v>
      </c>
      <c r="E6" s="6" t="s">
        <v>123</v>
      </c>
      <c r="F6" s="6" t="s">
        <v>123</v>
      </c>
      <c r="G6" s="6" t="s">
        <v>123</v>
      </c>
      <c r="H6" s="6" t="s">
        <v>123</v>
      </c>
      <c r="I6" s="6" t="s">
        <v>123</v>
      </c>
      <c r="J6" s="6" t="s">
        <v>123</v>
      </c>
      <c r="K6" s="6" t="s">
        <v>123</v>
      </c>
      <c r="L6" s="6"/>
      <c r="M6" s="6"/>
      <c r="N6" s="6"/>
      <c r="O6" s="6"/>
    </row>
    <row r="7" spans="1:16">
      <c r="A7" s="6">
        <v>46</v>
      </c>
      <c r="B7" s="6" t="s">
        <v>68</v>
      </c>
      <c r="C7" t="s">
        <v>129</v>
      </c>
      <c r="D7" t="s">
        <v>129</v>
      </c>
      <c r="E7" s="6" t="s">
        <v>123</v>
      </c>
      <c r="F7" s="6" t="s">
        <v>123</v>
      </c>
      <c r="G7" s="6" t="s">
        <v>123</v>
      </c>
      <c r="H7" s="6" t="s">
        <v>123</v>
      </c>
      <c r="I7" s="6" t="s">
        <v>123</v>
      </c>
      <c r="J7" s="6" t="s">
        <v>123</v>
      </c>
      <c r="K7" s="6" t="s">
        <v>123</v>
      </c>
      <c r="L7" s="6"/>
      <c r="M7" s="6"/>
      <c r="N7" s="6"/>
      <c r="O7" s="6"/>
    </row>
    <row r="8" spans="1:16">
      <c r="A8" s="6">
        <v>47</v>
      </c>
      <c r="B8" s="6" t="s">
        <v>27</v>
      </c>
      <c r="C8" t="s">
        <v>133</v>
      </c>
      <c r="D8" t="s">
        <v>133</v>
      </c>
      <c r="E8" s="6" t="s">
        <v>123</v>
      </c>
      <c r="F8" s="6" t="s">
        <v>123</v>
      </c>
      <c r="G8" s="6" t="s">
        <v>123</v>
      </c>
      <c r="H8" s="6" t="s">
        <v>123</v>
      </c>
      <c r="I8" s="6" t="s">
        <v>123</v>
      </c>
      <c r="J8" s="6" t="s">
        <v>123</v>
      </c>
      <c r="K8" s="6" t="s">
        <v>123</v>
      </c>
      <c r="L8" s="6"/>
      <c r="M8" s="6"/>
      <c r="N8" s="6"/>
      <c r="O8" s="6"/>
    </row>
    <row r="9" spans="1:16">
      <c r="A9" s="6">
        <v>48</v>
      </c>
      <c r="B9" s="6" t="s">
        <v>68</v>
      </c>
      <c r="C9" t="s">
        <v>130</v>
      </c>
      <c r="D9" t="s">
        <v>130</v>
      </c>
      <c r="E9" s="6" t="s">
        <v>123</v>
      </c>
      <c r="F9" s="6" t="s">
        <v>123</v>
      </c>
      <c r="G9" s="6" t="s">
        <v>123</v>
      </c>
      <c r="H9" s="6" t="s">
        <v>123</v>
      </c>
      <c r="I9" s="6" t="s">
        <v>123</v>
      </c>
      <c r="J9" s="6" t="s">
        <v>123</v>
      </c>
      <c r="K9" s="6" t="s">
        <v>123</v>
      </c>
      <c r="L9" s="6"/>
      <c r="M9" s="6"/>
      <c r="N9" s="6"/>
      <c r="O9" s="6"/>
    </row>
    <row r="10" spans="1:16">
      <c r="A10" s="6">
        <v>49</v>
      </c>
      <c r="B10" s="6" t="s">
        <v>68</v>
      </c>
      <c r="C10" t="s">
        <v>131</v>
      </c>
      <c r="D10" t="s">
        <v>131</v>
      </c>
      <c r="E10" s="6" t="s">
        <v>123</v>
      </c>
      <c r="F10" s="6" t="s">
        <v>123</v>
      </c>
      <c r="G10" s="6" t="s">
        <v>123</v>
      </c>
      <c r="H10" s="6" t="s">
        <v>123</v>
      </c>
      <c r="I10" s="6" t="s">
        <v>123</v>
      </c>
      <c r="J10" s="6" t="s">
        <v>123</v>
      </c>
      <c r="K10" s="6" t="s">
        <v>123</v>
      </c>
      <c r="L10" s="6"/>
      <c r="M10" s="6"/>
      <c r="N10" s="6"/>
      <c r="O10" s="6"/>
    </row>
    <row r="11" spans="1:16">
      <c r="A11" s="6">
        <v>50</v>
      </c>
      <c r="B11" s="6" t="s">
        <v>68</v>
      </c>
      <c r="C11" t="s">
        <v>132</v>
      </c>
      <c r="D11" t="s">
        <v>132</v>
      </c>
      <c r="E11" s="6" t="s">
        <v>123</v>
      </c>
      <c r="F11" s="6" t="s">
        <v>123</v>
      </c>
      <c r="G11" s="6" t="s">
        <v>123</v>
      </c>
      <c r="H11" s="6" t="s">
        <v>123</v>
      </c>
      <c r="I11" s="6" t="s">
        <v>123</v>
      </c>
      <c r="J11" s="6" t="s">
        <v>123</v>
      </c>
      <c r="K11" s="6" t="s">
        <v>123</v>
      </c>
      <c r="L11" s="6"/>
      <c r="M11" s="6"/>
      <c r="N11" s="6"/>
      <c r="O11" s="6"/>
    </row>
    <row r="12" spans="1:16">
      <c r="A12" s="6">
        <v>51</v>
      </c>
      <c r="B12" s="6" t="s">
        <v>27</v>
      </c>
      <c r="C12" t="s">
        <v>134</v>
      </c>
      <c r="D12" t="s">
        <v>134</v>
      </c>
      <c r="E12" s="6" t="s">
        <v>123</v>
      </c>
      <c r="F12" s="6" t="s">
        <v>123</v>
      </c>
      <c r="G12" s="6" t="s">
        <v>123</v>
      </c>
      <c r="H12" s="6" t="s">
        <v>123</v>
      </c>
      <c r="I12" s="6" t="s">
        <v>123</v>
      </c>
      <c r="J12" s="6" t="s">
        <v>123</v>
      </c>
      <c r="K12" s="6" t="s">
        <v>123</v>
      </c>
      <c r="L12" s="6"/>
      <c r="M12" s="6"/>
      <c r="N12" s="6"/>
      <c r="O12" s="6"/>
    </row>
    <row r="13" spans="1:16">
      <c r="A13" s="6">
        <v>52</v>
      </c>
      <c r="B13" s="6" t="s">
        <v>68</v>
      </c>
      <c r="C13" t="s">
        <v>135</v>
      </c>
      <c r="D13" t="s">
        <v>135</v>
      </c>
      <c r="E13" s="6" t="s">
        <v>123</v>
      </c>
      <c r="F13" s="6" t="s">
        <v>123</v>
      </c>
      <c r="G13" s="6" t="s">
        <v>123</v>
      </c>
      <c r="H13" s="6" t="s">
        <v>123</v>
      </c>
      <c r="I13" s="6" t="s">
        <v>123</v>
      </c>
      <c r="J13" s="6" t="s">
        <v>123</v>
      </c>
      <c r="K13" s="6" t="s">
        <v>123</v>
      </c>
      <c r="L13" s="6"/>
      <c r="M13" s="6"/>
      <c r="N13" s="6"/>
      <c r="O13" s="6"/>
    </row>
    <row r="14" spans="1:16">
      <c r="A14" s="6">
        <v>53</v>
      </c>
      <c r="B14" s="6" t="s">
        <v>68</v>
      </c>
      <c r="C14" t="s">
        <v>136</v>
      </c>
      <c r="D14" t="s">
        <v>136</v>
      </c>
      <c r="E14" s="6" t="s">
        <v>123</v>
      </c>
      <c r="F14" s="6" t="s">
        <v>123</v>
      </c>
      <c r="G14" s="6" t="s">
        <v>123</v>
      </c>
      <c r="H14" s="6" t="s">
        <v>123</v>
      </c>
      <c r="I14" s="6" t="s">
        <v>123</v>
      </c>
      <c r="J14" s="6" t="s">
        <v>123</v>
      </c>
      <c r="K14" s="6" t="s">
        <v>123</v>
      </c>
      <c r="L14" s="6"/>
      <c r="M14" s="6"/>
      <c r="N14" s="6"/>
      <c r="O14" s="6"/>
    </row>
    <row r="15" spans="1:16">
      <c r="A15" s="6">
        <v>54</v>
      </c>
      <c r="B15" s="6" t="s">
        <v>68</v>
      </c>
      <c r="C15" t="s">
        <v>137</v>
      </c>
      <c r="D15" t="s">
        <v>137</v>
      </c>
      <c r="E15" s="6" t="s">
        <v>123</v>
      </c>
      <c r="F15" s="6" t="s">
        <v>123</v>
      </c>
      <c r="G15" s="6" t="s">
        <v>123</v>
      </c>
      <c r="H15" s="6" t="s">
        <v>123</v>
      </c>
      <c r="I15" s="6" t="s">
        <v>123</v>
      </c>
      <c r="J15" s="6" t="s">
        <v>123</v>
      </c>
      <c r="K15" s="6" t="s">
        <v>123</v>
      </c>
      <c r="L15" s="6"/>
      <c r="M15" s="6"/>
      <c r="N15" s="6"/>
      <c r="O15" s="6"/>
    </row>
    <row r="16" spans="1:16">
      <c r="A16" s="6">
        <v>55</v>
      </c>
      <c r="B16" s="6" t="s">
        <v>68</v>
      </c>
      <c r="C16" t="s">
        <v>138</v>
      </c>
      <c r="D16" t="s">
        <v>138</v>
      </c>
      <c r="E16" s="6" t="s">
        <v>123</v>
      </c>
      <c r="F16" s="6" t="s">
        <v>123</v>
      </c>
      <c r="G16" s="6" t="s">
        <v>123</v>
      </c>
      <c r="H16" s="6" t="s">
        <v>123</v>
      </c>
      <c r="I16" s="6" t="s">
        <v>123</v>
      </c>
      <c r="J16" s="6" t="s">
        <v>123</v>
      </c>
      <c r="K16" s="6" t="s">
        <v>123</v>
      </c>
      <c r="L16" s="6"/>
      <c r="M16" s="6"/>
      <c r="N16" s="6"/>
      <c r="O16" s="6"/>
    </row>
    <row r="17" spans="1:15">
      <c r="A17" s="6">
        <v>56</v>
      </c>
      <c r="B17" s="6" t="s">
        <v>27</v>
      </c>
      <c r="C17" t="s">
        <v>139</v>
      </c>
      <c r="D17" t="s">
        <v>139</v>
      </c>
      <c r="E17" s="6" t="s">
        <v>123</v>
      </c>
      <c r="F17" s="6" t="s">
        <v>123</v>
      </c>
      <c r="G17" s="6" t="s">
        <v>123</v>
      </c>
      <c r="H17" s="6" t="s">
        <v>123</v>
      </c>
      <c r="I17" s="6" t="s">
        <v>123</v>
      </c>
      <c r="J17" s="6" t="s">
        <v>123</v>
      </c>
      <c r="K17" s="6" t="s">
        <v>123</v>
      </c>
      <c r="L17" s="6"/>
      <c r="M17" s="6"/>
      <c r="N17" s="6"/>
      <c r="O17" s="6"/>
    </row>
    <row r="18" spans="1:15">
      <c r="A18" s="6">
        <v>57</v>
      </c>
      <c r="B18" s="6" t="s">
        <v>68</v>
      </c>
      <c r="C18" t="s">
        <v>140</v>
      </c>
      <c r="D18" t="s">
        <v>140</v>
      </c>
      <c r="E18" s="6" t="s">
        <v>123</v>
      </c>
      <c r="F18" s="6" t="s">
        <v>123</v>
      </c>
      <c r="G18" s="6" t="s">
        <v>123</v>
      </c>
      <c r="H18" s="6" t="s">
        <v>123</v>
      </c>
      <c r="I18" s="6" t="s">
        <v>123</v>
      </c>
      <c r="J18" s="6" t="s">
        <v>123</v>
      </c>
      <c r="K18" s="6" t="s">
        <v>123</v>
      </c>
      <c r="L18" s="6"/>
      <c r="M18" s="6"/>
      <c r="N18" s="6"/>
      <c r="O18" s="6"/>
    </row>
    <row r="19" spans="1:15">
      <c r="A19" s="6">
        <v>58</v>
      </c>
      <c r="B19" s="6" t="s">
        <v>68</v>
      </c>
      <c r="C19" t="s">
        <v>141</v>
      </c>
      <c r="D19" t="s">
        <v>141</v>
      </c>
      <c r="E19" s="6" t="s">
        <v>123</v>
      </c>
      <c r="F19" s="6" t="s">
        <v>123</v>
      </c>
      <c r="G19" s="6" t="s">
        <v>123</v>
      </c>
      <c r="H19" s="6" t="s">
        <v>123</v>
      </c>
      <c r="I19" s="6" t="s">
        <v>123</v>
      </c>
      <c r="J19" s="6" t="s">
        <v>123</v>
      </c>
      <c r="K19" s="6" t="s">
        <v>123</v>
      </c>
      <c r="L19" s="6"/>
      <c r="M19" s="6"/>
      <c r="N19" s="6"/>
      <c r="O19" s="6"/>
    </row>
    <row r="20" spans="1:15">
      <c r="A20" s="6">
        <v>59</v>
      </c>
      <c r="B20" s="6" t="s">
        <v>68</v>
      </c>
      <c r="C20" t="s">
        <v>142</v>
      </c>
      <c r="D20" t="s">
        <v>142</v>
      </c>
      <c r="E20" s="6" t="s">
        <v>123</v>
      </c>
      <c r="F20" s="6" t="s">
        <v>123</v>
      </c>
      <c r="G20" s="6" t="s">
        <v>123</v>
      </c>
      <c r="H20" s="6" t="s">
        <v>123</v>
      </c>
      <c r="I20" s="6" t="s">
        <v>123</v>
      </c>
      <c r="J20" s="6" t="s">
        <v>123</v>
      </c>
      <c r="K20" s="6" t="s">
        <v>123</v>
      </c>
      <c r="L20" s="6"/>
      <c r="M20" s="6"/>
      <c r="N20" s="6"/>
      <c r="O20" s="6"/>
    </row>
    <row r="21" spans="1:15">
      <c r="A21" s="6">
        <v>60</v>
      </c>
      <c r="B21" s="6" t="s">
        <v>27</v>
      </c>
      <c r="C21" t="s">
        <v>143</v>
      </c>
      <c r="D21" t="s">
        <v>143</v>
      </c>
      <c r="E21" s="6" t="s">
        <v>123</v>
      </c>
      <c r="F21" s="6" t="s">
        <v>123</v>
      </c>
      <c r="G21" s="6" t="s">
        <v>123</v>
      </c>
      <c r="H21" s="6" t="s">
        <v>123</v>
      </c>
      <c r="I21" s="6" t="s">
        <v>123</v>
      </c>
      <c r="J21" s="6" t="s">
        <v>123</v>
      </c>
      <c r="K21" s="6" t="s">
        <v>123</v>
      </c>
      <c r="L21" s="6"/>
      <c r="M21" s="6"/>
      <c r="N21" s="6"/>
      <c r="O21" s="6"/>
    </row>
    <row r="22" spans="1:15">
      <c r="A22" s="6">
        <v>61</v>
      </c>
      <c r="B22" s="6" t="s">
        <v>27</v>
      </c>
      <c r="C22" t="s">
        <v>144</v>
      </c>
      <c r="D22" t="s">
        <v>144</v>
      </c>
      <c r="E22" s="6" t="s">
        <v>123</v>
      </c>
      <c r="F22" s="6" t="s">
        <v>123</v>
      </c>
      <c r="G22" s="6" t="s">
        <v>123</v>
      </c>
      <c r="H22" s="6" t="s">
        <v>123</v>
      </c>
      <c r="I22" s="6" t="s">
        <v>123</v>
      </c>
      <c r="J22" s="6" t="s">
        <v>123</v>
      </c>
      <c r="K22" s="6" t="s">
        <v>123</v>
      </c>
      <c r="L22" s="6"/>
      <c r="M22" s="6"/>
      <c r="N22" s="6"/>
      <c r="O22" s="6"/>
    </row>
    <row r="23" spans="1:15">
      <c r="A23" s="6">
        <v>62</v>
      </c>
      <c r="B23" s="6" t="s">
        <v>68</v>
      </c>
      <c r="C23" t="s">
        <v>145</v>
      </c>
      <c r="D23" t="s">
        <v>145</v>
      </c>
      <c r="E23" s="6" t="s">
        <v>123</v>
      </c>
      <c r="F23" s="6" t="s">
        <v>123</v>
      </c>
      <c r="G23" s="6" t="s">
        <v>123</v>
      </c>
      <c r="H23" s="6" t="s">
        <v>123</v>
      </c>
      <c r="I23" s="6" t="s">
        <v>123</v>
      </c>
      <c r="J23" s="6" t="s">
        <v>123</v>
      </c>
      <c r="K23" s="6" t="s">
        <v>123</v>
      </c>
      <c r="L23" s="6"/>
      <c r="M23" s="6"/>
      <c r="N23" s="6"/>
      <c r="O23" s="6"/>
    </row>
    <row r="24" spans="1:15">
      <c r="A24" s="6">
        <v>63</v>
      </c>
      <c r="B24" s="6" t="s">
        <v>68</v>
      </c>
      <c r="C24" t="s">
        <v>146</v>
      </c>
      <c r="D24" t="s">
        <v>146</v>
      </c>
      <c r="E24" s="6" t="s">
        <v>123</v>
      </c>
      <c r="F24" s="6" t="s">
        <v>123</v>
      </c>
      <c r="G24" s="6" t="s">
        <v>123</v>
      </c>
      <c r="H24" s="6" t="s">
        <v>123</v>
      </c>
      <c r="I24" s="6" t="s">
        <v>123</v>
      </c>
      <c r="J24" s="6" t="s">
        <v>123</v>
      </c>
      <c r="K24" s="6" t="s">
        <v>123</v>
      </c>
      <c r="L24" s="6"/>
      <c r="M24" s="6"/>
      <c r="N24" s="6"/>
      <c r="O24" s="6"/>
    </row>
    <row r="25" spans="1:15">
      <c r="A25" s="6">
        <v>64</v>
      </c>
      <c r="B25" s="6" t="s">
        <v>68</v>
      </c>
      <c r="C25" t="s">
        <v>147</v>
      </c>
      <c r="D25" t="s">
        <v>147</v>
      </c>
      <c r="E25" s="6" t="s">
        <v>123</v>
      </c>
      <c r="F25" s="6" t="s">
        <v>123</v>
      </c>
      <c r="G25" s="6" t="s">
        <v>123</v>
      </c>
      <c r="H25" s="6" t="s">
        <v>123</v>
      </c>
      <c r="I25" s="6" t="s">
        <v>123</v>
      </c>
      <c r="J25" s="6" t="s">
        <v>123</v>
      </c>
      <c r="K25" s="6" t="s">
        <v>123</v>
      </c>
      <c r="L25" s="6"/>
      <c r="M25" s="6"/>
      <c r="N25" s="6"/>
      <c r="O25" s="6"/>
    </row>
    <row r="26" spans="1:15">
      <c r="A26" s="6">
        <v>65</v>
      </c>
      <c r="B26" s="6" t="s">
        <v>27</v>
      </c>
      <c r="C26" t="s">
        <v>148</v>
      </c>
      <c r="D26" t="s">
        <v>148</v>
      </c>
      <c r="E26" s="6" t="s">
        <v>123</v>
      </c>
      <c r="F26" s="6" t="s">
        <v>123</v>
      </c>
      <c r="G26" s="6" t="s">
        <v>123</v>
      </c>
      <c r="H26" s="6" t="s">
        <v>123</v>
      </c>
      <c r="I26" s="6" t="s">
        <v>123</v>
      </c>
      <c r="J26" s="6" t="s">
        <v>123</v>
      </c>
      <c r="K26" s="6" t="s">
        <v>123</v>
      </c>
      <c r="L26" s="6"/>
      <c r="M26" s="6"/>
      <c r="N26" s="6"/>
      <c r="O26" s="6"/>
    </row>
    <row r="27" spans="1:15">
      <c r="A27" s="6">
        <v>66</v>
      </c>
      <c r="B27" t="s">
        <v>68</v>
      </c>
      <c r="C27" t="s">
        <v>149</v>
      </c>
      <c r="D27" t="s">
        <v>149</v>
      </c>
      <c r="E27" s="6" t="s">
        <v>123</v>
      </c>
      <c r="F27" s="6" t="s">
        <v>123</v>
      </c>
      <c r="G27" s="6" t="s">
        <v>123</v>
      </c>
      <c r="H27" s="6" t="s">
        <v>123</v>
      </c>
      <c r="I27" s="6" t="s">
        <v>123</v>
      </c>
      <c r="J27" s="6" t="s">
        <v>123</v>
      </c>
      <c r="K27" s="6" t="s">
        <v>123</v>
      </c>
      <c r="L27" s="6"/>
      <c r="M27" s="6"/>
      <c r="N27" s="6"/>
      <c r="O27" s="6"/>
    </row>
    <row r="28" spans="1:15">
      <c r="A28" s="6">
        <v>67</v>
      </c>
      <c r="B28" t="s">
        <v>68</v>
      </c>
      <c r="C28" t="s">
        <v>150</v>
      </c>
      <c r="D28" t="s">
        <v>150</v>
      </c>
      <c r="E28" s="6" t="s">
        <v>123</v>
      </c>
      <c r="F28" s="6" t="s">
        <v>123</v>
      </c>
      <c r="G28" s="6" t="s">
        <v>123</v>
      </c>
      <c r="H28" s="6" t="s">
        <v>123</v>
      </c>
      <c r="I28" s="6" t="s">
        <v>123</v>
      </c>
      <c r="J28" s="6" t="s">
        <v>123</v>
      </c>
      <c r="K28" s="6" t="s">
        <v>123</v>
      </c>
      <c r="L28" s="6"/>
      <c r="M28" s="6"/>
      <c r="N28" s="6"/>
      <c r="O28" s="6"/>
    </row>
    <row r="29" spans="1:15">
      <c r="A29" s="6">
        <v>68</v>
      </c>
      <c r="B29" t="s">
        <v>27</v>
      </c>
      <c r="C29" t="s">
        <v>151</v>
      </c>
      <c r="D29" t="s">
        <v>151</v>
      </c>
      <c r="E29" s="6" t="s">
        <v>123</v>
      </c>
      <c r="F29" s="6" t="s">
        <v>123</v>
      </c>
      <c r="G29" s="6" t="s">
        <v>123</v>
      </c>
      <c r="H29" s="6" t="s">
        <v>123</v>
      </c>
      <c r="I29" s="6" t="s">
        <v>123</v>
      </c>
      <c r="J29" s="6" t="s">
        <v>123</v>
      </c>
      <c r="K29" s="6" t="s">
        <v>123</v>
      </c>
      <c r="L29" s="6"/>
      <c r="M29" s="6"/>
      <c r="N29" s="6"/>
      <c r="O29" s="6"/>
    </row>
    <row r="30" spans="1:15">
      <c r="A30" s="6">
        <v>69</v>
      </c>
      <c r="B30" t="s">
        <v>24</v>
      </c>
      <c r="C30" t="s">
        <v>152</v>
      </c>
      <c r="D30" t="s">
        <v>152</v>
      </c>
      <c r="E30" s="6" t="s">
        <v>123</v>
      </c>
      <c r="F30" s="6" t="s">
        <v>123</v>
      </c>
      <c r="G30" s="6" t="s">
        <v>123</v>
      </c>
      <c r="H30" s="6" t="s">
        <v>123</v>
      </c>
      <c r="I30" s="6" t="s">
        <v>123</v>
      </c>
      <c r="J30" s="6" t="s">
        <v>123</v>
      </c>
      <c r="K30" s="6" t="s">
        <v>123</v>
      </c>
      <c r="L30" s="6"/>
      <c r="M30" s="6"/>
      <c r="N30" s="6"/>
      <c r="O30" s="6"/>
    </row>
    <row r="31" spans="1:15">
      <c r="A31" s="6">
        <v>70</v>
      </c>
      <c r="B31" t="s">
        <v>27</v>
      </c>
      <c r="C31" t="s">
        <v>153</v>
      </c>
      <c r="D31" t="s">
        <v>153</v>
      </c>
      <c r="E31" s="6" t="s">
        <v>123</v>
      </c>
      <c r="F31" s="6" t="s">
        <v>123</v>
      </c>
      <c r="G31" s="6" t="s">
        <v>123</v>
      </c>
      <c r="H31" s="6" t="s">
        <v>123</v>
      </c>
      <c r="I31" s="6" t="s">
        <v>123</v>
      </c>
      <c r="J31" s="6" t="s">
        <v>123</v>
      </c>
      <c r="K31" s="6" t="s">
        <v>123</v>
      </c>
      <c r="L31" s="6"/>
      <c r="M31" s="6"/>
      <c r="N31" s="6"/>
      <c r="O31" s="6"/>
    </row>
    <row r="32" spans="1:15">
      <c r="A32" s="6">
        <v>71</v>
      </c>
      <c r="B32" t="s">
        <v>68</v>
      </c>
      <c r="C32" t="s">
        <v>154</v>
      </c>
      <c r="D32" t="s">
        <v>154</v>
      </c>
      <c r="E32" s="6" t="s">
        <v>123</v>
      </c>
      <c r="F32" s="6" t="s">
        <v>123</v>
      </c>
      <c r="G32" s="6" t="s">
        <v>123</v>
      </c>
      <c r="H32" s="6" t="s">
        <v>123</v>
      </c>
      <c r="I32" s="6" t="s">
        <v>123</v>
      </c>
      <c r="J32" s="6" t="s">
        <v>123</v>
      </c>
      <c r="K32" s="6" t="s">
        <v>123</v>
      </c>
      <c r="L32" s="6"/>
      <c r="M32" s="6"/>
      <c r="N32" s="6"/>
      <c r="O32" s="6"/>
    </row>
    <row r="33" spans="1:15">
      <c r="A33" s="6">
        <v>72</v>
      </c>
      <c r="B33" t="s">
        <v>68</v>
      </c>
      <c r="C33" t="s">
        <v>155</v>
      </c>
      <c r="D33" t="s">
        <v>155</v>
      </c>
      <c r="E33" s="6" t="s">
        <v>123</v>
      </c>
      <c r="F33" s="6" t="s">
        <v>123</v>
      </c>
      <c r="G33" s="6" t="s">
        <v>123</v>
      </c>
      <c r="H33" s="6" t="s">
        <v>123</v>
      </c>
      <c r="I33" s="6" t="s">
        <v>123</v>
      </c>
      <c r="J33" s="6" t="s">
        <v>123</v>
      </c>
      <c r="K33" s="6" t="s">
        <v>123</v>
      </c>
      <c r="L33" s="6"/>
      <c r="M33" s="6"/>
      <c r="N33" s="6"/>
      <c r="O33" s="6"/>
    </row>
    <row r="34" spans="1:15">
      <c r="A34" s="6">
        <v>73</v>
      </c>
      <c r="B34" t="s">
        <v>27</v>
      </c>
      <c r="C34" t="s">
        <v>156</v>
      </c>
      <c r="D34" t="s">
        <v>156</v>
      </c>
      <c r="E34" s="6" t="s">
        <v>123</v>
      </c>
      <c r="F34" s="6" t="s">
        <v>123</v>
      </c>
      <c r="G34" s="6" t="s">
        <v>123</v>
      </c>
      <c r="H34" s="6" t="s">
        <v>123</v>
      </c>
      <c r="I34" s="6" t="s">
        <v>123</v>
      </c>
      <c r="J34" s="6" t="s">
        <v>123</v>
      </c>
      <c r="K34" s="6" t="s">
        <v>123</v>
      </c>
      <c r="L34" s="6"/>
      <c r="M34" s="6"/>
      <c r="N34" s="6"/>
      <c r="O34" s="6"/>
    </row>
    <row r="35" spans="1:15">
      <c r="A35" s="6">
        <v>74</v>
      </c>
      <c r="B35" t="s">
        <v>27</v>
      </c>
      <c r="C35" t="s">
        <v>157</v>
      </c>
      <c r="D35" t="s">
        <v>157</v>
      </c>
      <c r="E35" s="6" t="s">
        <v>123</v>
      </c>
      <c r="F35" s="6" t="s">
        <v>123</v>
      </c>
      <c r="G35" s="6" t="s">
        <v>123</v>
      </c>
      <c r="H35" s="6" t="s">
        <v>123</v>
      </c>
      <c r="I35" s="6" t="s">
        <v>123</v>
      </c>
      <c r="J35" s="6" t="s">
        <v>123</v>
      </c>
      <c r="K35" s="6" t="s">
        <v>123</v>
      </c>
      <c r="L35" s="6"/>
      <c r="M35" s="6"/>
      <c r="N35" s="6"/>
      <c r="O35" s="6"/>
    </row>
    <row r="36" spans="1:15">
      <c r="A36" s="6">
        <v>75</v>
      </c>
      <c r="B36" t="s">
        <v>68</v>
      </c>
      <c r="C36" t="s">
        <v>158</v>
      </c>
      <c r="D36" t="s">
        <v>158</v>
      </c>
      <c r="E36" s="6" t="s">
        <v>123</v>
      </c>
      <c r="F36" s="6" t="s">
        <v>123</v>
      </c>
      <c r="G36" s="6" t="s">
        <v>123</v>
      </c>
      <c r="H36" s="6" t="s">
        <v>123</v>
      </c>
      <c r="I36" s="6" t="s">
        <v>123</v>
      </c>
      <c r="J36" s="6" t="s">
        <v>123</v>
      </c>
      <c r="K36" s="6" t="s">
        <v>123</v>
      </c>
      <c r="L36" s="6"/>
      <c r="M36" s="6"/>
      <c r="N36" s="6"/>
      <c r="O36" s="6"/>
    </row>
    <row r="37" spans="1:15">
      <c r="A37" s="6">
        <v>76</v>
      </c>
      <c r="B37" t="s">
        <v>68</v>
      </c>
      <c r="C37" t="s">
        <v>159</v>
      </c>
      <c r="D37" t="s">
        <v>159</v>
      </c>
      <c r="E37" s="6" t="s">
        <v>123</v>
      </c>
      <c r="F37" s="6" t="s">
        <v>123</v>
      </c>
      <c r="G37" s="6" t="s">
        <v>123</v>
      </c>
      <c r="H37" s="6" t="s">
        <v>123</v>
      </c>
      <c r="I37" s="6" t="s">
        <v>123</v>
      </c>
      <c r="J37" s="6" t="s">
        <v>123</v>
      </c>
      <c r="K37" s="6" t="s">
        <v>123</v>
      </c>
      <c r="L37" s="6"/>
      <c r="M37" s="6"/>
      <c r="N37" s="6"/>
      <c r="O37" s="6"/>
    </row>
    <row r="38" spans="1:15">
      <c r="A38" s="6">
        <v>77</v>
      </c>
      <c r="B38" s="6" t="s">
        <v>27</v>
      </c>
      <c r="C38" t="s">
        <v>160</v>
      </c>
      <c r="D38" t="s">
        <v>160</v>
      </c>
      <c r="E38" s="6" t="s">
        <v>123</v>
      </c>
      <c r="F38" s="6" t="s">
        <v>123</v>
      </c>
      <c r="G38" s="6" t="s">
        <v>123</v>
      </c>
      <c r="H38" s="6" t="s">
        <v>123</v>
      </c>
      <c r="I38" s="6" t="s">
        <v>123</v>
      </c>
      <c r="J38" s="6" t="s">
        <v>123</v>
      </c>
      <c r="K38" s="6" t="s">
        <v>123</v>
      </c>
      <c r="L38" s="6"/>
      <c r="M38" s="6"/>
      <c r="N38" s="6"/>
      <c r="O38" s="6"/>
    </row>
    <row r="39" spans="1:15">
      <c r="A39" s="6">
        <v>78</v>
      </c>
      <c r="B39" s="6" t="s">
        <v>68</v>
      </c>
      <c r="C39" t="s">
        <v>161</v>
      </c>
      <c r="D39" t="s">
        <v>161</v>
      </c>
      <c r="E39" s="6" t="s">
        <v>123</v>
      </c>
      <c r="F39" s="6" t="s">
        <v>123</v>
      </c>
      <c r="G39" s="6" t="s">
        <v>123</v>
      </c>
      <c r="H39" s="6" t="s">
        <v>123</v>
      </c>
      <c r="I39" s="6" t="s">
        <v>123</v>
      </c>
      <c r="J39" s="6" t="s">
        <v>123</v>
      </c>
      <c r="K39" s="6" t="s">
        <v>123</v>
      </c>
      <c r="L39" s="6"/>
      <c r="M39" s="6"/>
      <c r="N39" s="6"/>
      <c r="O39" s="6"/>
    </row>
    <row r="40" spans="1:15">
      <c r="A40" s="6">
        <v>79</v>
      </c>
      <c r="B40" s="6" t="s">
        <v>68</v>
      </c>
      <c r="C40" t="s">
        <v>162</v>
      </c>
      <c r="D40" t="s">
        <v>162</v>
      </c>
      <c r="E40" s="6" t="s">
        <v>123</v>
      </c>
      <c r="F40" s="6" t="s">
        <v>123</v>
      </c>
      <c r="G40" s="6" t="s">
        <v>123</v>
      </c>
      <c r="H40" s="6" t="s">
        <v>123</v>
      </c>
      <c r="I40" s="6" t="s">
        <v>123</v>
      </c>
      <c r="J40" s="6" t="s">
        <v>123</v>
      </c>
      <c r="K40" s="6" t="s">
        <v>123</v>
      </c>
      <c r="L40" s="6"/>
      <c r="M40" s="6"/>
      <c r="N40" s="6"/>
      <c r="O40" s="6"/>
    </row>
    <row r="41" spans="1:15">
      <c r="A41" s="6">
        <v>80</v>
      </c>
      <c r="B41" s="6" t="s">
        <v>68</v>
      </c>
      <c r="C41" t="s">
        <v>163</v>
      </c>
      <c r="D41" t="s">
        <v>163</v>
      </c>
      <c r="E41" s="6" t="s">
        <v>123</v>
      </c>
      <c r="F41" s="6" t="s">
        <v>123</v>
      </c>
      <c r="G41" s="6" t="s">
        <v>123</v>
      </c>
      <c r="H41" s="6" t="s">
        <v>123</v>
      </c>
      <c r="I41" s="6" t="s">
        <v>123</v>
      </c>
      <c r="J41" s="6" t="s">
        <v>123</v>
      </c>
      <c r="K41" s="6" t="s">
        <v>123</v>
      </c>
      <c r="L41" s="6"/>
      <c r="M41" s="6"/>
      <c r="N41" s="6"/>
      <c r="O41" s="6"/>
    </row>
    <row r="42" spans="1:15">
      <c r="A42" s="6">
        <v>81</v>
      </c>
      <c r="B42" s="6" t="s">
        <v>68</v>
      </c>
      <c r="C42" t="s">
        <v>164</v>
      </c>
      <c r="D42" t="s">
        <v>164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82</v>
      </c>
      <c r="B43" s="6"/>
      <c r="C43" t="s">
        <v>123</v>
      </c>
      <c r="D43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83</v>
      </c>
      <c r="B44" s="6"/>
      <c r="C44" t="s">
        <v>123</v>
      </c>
      <c r="D44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84</v>
      </c>
      <c r="B45" s="6"/>
      <c r="C45" t="s">
        <v>123</v>
      </c>
      <c r="D45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85</v>
      </c>
      <c r="B46" s="6"/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86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87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88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89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90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91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92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93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94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95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96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97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98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99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100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/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/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/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/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/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/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/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/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/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/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/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/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/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/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/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/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/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/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/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/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/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/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/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/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/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/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/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/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/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/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/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/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/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/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/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/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/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/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/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</sheetData>
  <conditionalFormatting sqref="A2:P3 A46:P61 A4:B45 E4:P45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1"/>
  <sheetViews>
    <sheetView workbookViewId="0">
      <pane ySplit="1" topLeftCell="A2" activePane="bottomLeft" state="frozen"/>
      <selection pane="bottomLeft" activeCell="D28" sqref="D28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tr">
        <f>IF($B2="","",IFERROR(INDEX('Типы элементов'!$E:$E,MATCH($B2,'Типы элементов'!$B:$B,0)),""))</f>
        <v>images/hero.jpg</v>
      </c>
      <c r="F2" s="6" t="str">
        <f>IF($B2="","",IFERROR(INDEX('Типы элементов'!$F:$F,MATCH($B2,'Типы элементов'!$B:$B,0)),""))</f>
        <v>images/hero.jpg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165</v>
      </c>
      <c r="D3" t="s">
        <v>165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27</v>
      </c>
      <c r="C4" t="s">
        <v>166</v>
      </c>
      <c r="D4" t="s">
        <v>166</v>
      </c>
      <c r="E4" s="6">
        <f>IF($B4="","",IFERROR(INDEX('Типы элементов'!$E:$E,MATCH($B4,'Типы элементов'!$B:$B,0)),""))</f>
        <v>0</v>
      </c>
      <c r="F4" s="6">
        <f>IF($B4="","",IFERROR(INDEX('Типы элементов'!$F:$F,MATCH($B4,'Типы элементов'!$B:$B,0)),""))</f>
        <v>0</v>
      </c>
      <c r="G4" s="6">
        <f>IF($B4="","",IFERROR(INDEX('Типы элементов'!$G:$G,MATCH($B4,'Типы элементов'!$B:$B,0)),""))</f>
        <v>0</v>
      </c>
      <c r="H4" s="6">
        <f>IF($B4="","",IFERROR(INDEX('Типы элементов'!$H:$H,MATCH($B4,'Типы элементов'!$B:$B,0)),""))</f>
        <v>0</v>
      </c>
      <c r="I4" s="6">
        <f>IF($B4="","",IFERROR(INDEX('Типы элементов'!$I:$I,MATCH($B4,'Типы элементов'!$B:$B,0)),""))</f>
        <v>0</v>
      </c>
      <c r="J4" s="6">
        <f>IF($B4="","",IFERROR(INDEX('Типы элементов'!$J:$J,MATCH($B4,'Типы элементов'!$B:$B,0)),""))</f>
        <v>0</v>
      </c>
      <c r="K4" s="6">
        <f>IF($B4="","",IFERROR(INDEX('Типы элементов'!$K:$K,MATCH($B4,'Типы элементов'!$B:$B,0)),""))</f>
        <v>0</v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68</v>
      </c>
      <c r="C5" t="s">
        <v>167</v>
      </c>
      <c r="D5" t="s">
        <v>167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/>
      <c r="J5" s="6"/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68</v>
      </c>
      <c r="C6" t="s">
        <v>168</v>
      </c>
      <c r="D6" t="s">
        <v>168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6</v>
      </c>
      <c r="B7" s="6" t="s">
        <v>27</v>
      </c>
      <c r="C7" t="s">
        <v>170</v>
      </c>
      <c r="D7" t="s">
        <v>170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 t="s">
        <v>68</v>
      </c>
      <c r="C8" t="s">
        <v>171</v>
      </c>
      <c r="D8" t="s">
        <v>171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/>
      <c r="J8" s="6"/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8</v>
      </c>
      <c r="B9" s="6" t="s">
        <v>68</v>
      </c>
      <c r="C9" t="s">
        <v>172</v>
      </c>
      <c r="D9" t="s">
        <v>172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/>
      <c r="J9" s="6"/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9</v>
      </c>
      <c r="B10" s="6" t="s">
        <v>68</v>
      </c>
      <c r="C10" t="s">
        <v>173</v>
      </c>
      <c r="D10" t="s">
        <v>173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10</v>
      </c>
      <c r="B11" s="6" t="s">
        <v>68</v>
      </c>
      <c r="C11" t="s">
        <v>174</v>
      </c>
      <c r="D11" t="s">
        <v>174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11</v>
      </c>
      <c r="B12" s="6" t="s">
        <v>68</v>
      </c>
      <c r="C12" t="s">
        <v>175</v>
      </c>
      <c r="D12" t="s">
        <v>175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12</v>
      </c>
      <c r="B13" s="6" t="s">
        <v>68</v>
      </c>
      <c r="C13" t="s">
        <v>176</v>
      </c>
      <c r="D13" t="s">
        <v>176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13</v>
      </c>
      <c r="B14" s="6" t="s">
        <v>68</v>
      </c>
      <c r="C14" t="s">
        <v>177</v>
      </c>
      <c r="D14" t="s">
        <v>177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2 A15:P101 E3:P14 A3:B14">
    <cfRule type="expression" dxfId="6" priority="1">
      <formula>ISNUMBER(SEARCH("text",$B2))</formula>
    </cfRule>
    <cfRule type="expression" dxfId="5" priority="2">
      <formula>ISNUMBER(SEARCH("title",$B2))</formula>
    </cfRule>
    <cfRule type="expression" dxfId="4" priority="3">
      <formula>ISNUMBER(SEARCH("hero",$B2))</formula>
    </cfRule>
    <cfRule type="expression" dxfId="3" priority="4">
      <formula>ISNUMBER(SEARCH("card",$B2))</formula>
    </cfRule>
    <cfRule type="expression" dxfId="2" priority="5">
      <formula>ISNUMBER(SEARCH("carousel",$B2))</formula>
    </cfRule>
    <cfRule type="expression" dxfId="1" priority="6">
      <formula>ISNUMBER(SEARCH("video",$B2))</formula>
    </cfRule>
    <cfRule type="expression" dxfId="0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2026-05-20T14:38:56Z</dcterms:modified>
</cp:coreProperties>
</file>