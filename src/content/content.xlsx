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eugsinsh gmail drive\NA\na_mi_pmu\src\content\"/>
    </mc:Choice>
  </mc:AlternateContent>
  <xr:revisionPtr revIDLastSave="0" documentId="13_ncr:1_{9017C36F-765D-41D8-A342-187728F7FDC6}" xr6:coauthVersionLast="47" xr6:coauthVersionMax="47" xr10:uidLastSave="{00000000-0000-0000-0000-000000000000}"/>
  <bookViews>
    <workbookView xWindow="-120" yWindow="-120" windowWidth="29040" windowHeight="17640" activeTab="5" xr2:uid="{00000000-000D-0000-FFFF-FFFF00000000}"/>
  </bookViews>
  <sheets>
    <sheet name="_helper" sheetId="3" r:id="rId1"/>
    <sheet name="Типы элементов" sheetId="1" r:id="rId2"/>
    <sheet name="РАБОЧАЯ СТРАНИЦА" sheetId="2" r:id="rId3"/>
    <sheet name="index" sheetId="5" r:id="rId4"/>
    <sheet name="skin" sheetId="7" r:id="rId5"/>
    <sheet name="pigment" sheetId="8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2" l="1"/>
  <c r="K190" i="5"/>
  <c r="J190" i="5"/>
  <c r="I190" i="5"/>
  <c r="H190" i="5"/>
  <c r="G190" i="5"/>
  <c r="F190" i="5"/>
  <c r="E190" i="5"/>
  <c r="D190" i="5"/>
  <c r="C190" i="5"/>
  <c r="K189" i="5"/>
  <c r="J189" i="5"/>
  <c r="I189" i="5"/>
  <c r="H189" i="5"/>
  <c r="G189" i="5"/>
  <c r="F189" i="5"/>
  <c r="E189" i="5"/>
  <c r="D189" i="5"/>
  <c r="C189" i="5"/>
  <c r="K188" i="5"/>
  <c r="J188" i="5"/>
  <c r="I188" i="5"/>
  <c r="H188" i="5"/>
  <c r="G188" i="5"/>
  <c r="F188" i="5"/>
  <c r="E188" i="5"/>
  <c r="D188" i="5"/>
  <c r="C188" i="5"/>
  <c r="K187" i="5"/>
  <c r="J187" i="5"/>
  <c r="I187" i="5"/>
  <c r="H187" i="5"/>
  <c r="G187" i="5"/>
  <c r="F187" i="5"/>
  <c r="E187" i="5"/>
  <c r="D187" i="5"/>
  <c r="C187" i="5"/>
  <c r="K186" i="5"/>
  <c r="J186" i="5"/>
  <c r="I186" i="5"/>
  <c r="H186" i="5"/>
  <c r="G186" i="5"/>
  <c r="F186" i="5"/>
  <c r="E186" i="5"/>
  <c r="D186" i="5"/>
  <c r="C186" i="5"/>
  <c r="K185" i="5"/>
  <c r="J185" i="5"/>
  <c r="I185" i="5"/>
  <c r="H185" i="5"/>
  <c r="G185" i="5"/>
  <c r="F185" i="5"/>
  <c r="E185" i="5"/>
  <c r="D185" i="5"/>
  <c r="C185" i="5"/>
  <c r="K184" i="5"/>
  <c r="J184" i="5"/>
  <c r="I184" i="5"/>
  <c r="H184" i="5"/>
  <c r="G184" i="5"/>
  <c r="F184" i="5"/>
  <c r="E184" i="5"/>
  <c r="D184" i="5"/>
  <c r="C184" i="5"/>
  <c r="K183" i="5"/>
  <c r="J183" i="5"/>
  <c r="I183" i="5"/>
  <c r="H183" i="5"/>
  <c r="G183" i="5"/>
  <c r="F183" i="5"/>
  <c r="E183" i="5"/>
  <c r="D183" i="5"/>
  <c r="C183" i="5"/>
  <c r="K182" i="5"/>
  <c r="J182" i="5"/>
  <c r="I182" i="5"/>
  <c r="H182" i="5"/>
  <c r="G182" i="5"/>
  <c r="F182" i="5"/>
  <c r="E182" i="5"/>
  <c r="D182" i="5"/>
  <c r="C182" i="5"/>
  <c r="K181" i="5"/>
  <c r="J181" i="5"/>
  <c r="I181" i="5"/>
  <c r="H181" i="5"/>
  <c r="G181" i="5"/>
  <c r="F181" i="5"/>
  <c r="E181" i="5"/>
  <c r="D181" i="5"/>
  <c r="C181" i="5"/>
  <c r="K180" i="5"/>
  <c r="J180" i="5"/>
  <c r="I180" i="5"/>
  <c r="H180" i="5"/>
  <c r="G180" i="5"/>
  <c r="F180" i="5"/>
  <c r="E180" i="5"/>
  <c r="D180" i="5"/>
  <c r="C180" i="5"/>
  <c r="K179" i="5"/>
  <c r="J179" i="5"/>
  <c r="I179" i="5"/>
  <c r="H179" i="5"/>
  <c r="G179" i="5"/>
  <c r="F179" i="5"/>
  <c r="E179" i="5"/>
  <c r="D179" i="5"/>
  <c r="C179" i="5"/>
  <c r="K178" i="5"/>
  <c r="J178" i="5"/>
  <c r="I178" i="5"/>
  <c r="H178" i="5"/>
  <c r="G178" i="5"/>
  <c r="F178" i="5"/>
  <c r="E178" i="5"/>
  <c r="D178" i="5"/>
  <c r="C178" i="5"/>
  <c r="K177" i="5"/>
  <c r="J177" i="5"/>
  <c r="I177" i="5"/>
  <c r="H177" i="5"/>
  <c r="G177" i="5"/>
  <c r="F177" i="5"/>
  <c r="E177" i="5"/>
  <c r="D177" i="5"/>
  <c r="C177" i="5"/>
  <c r="K176" i="5"/>
  <c r="J176" i="5"/>
  <c r="I176" i="5"/>
  <c r="H176" i="5"/>
  <c r="G176" i="5"/>
  <c r="F176" i="5"/>
  <c r="E176" i="5"/>
  <c r="D176" i="5"/>
  <c r="C176" i="5"/>
  <c r="K175" i="5"/>
  <c r="J175" i="5"/>
  <c r="I175" i="5"/>
  <c r="H175" i="5"/>
  <c r="G175" i="5"/>
  <c r="F175" i="5"/>
  <c r="E175" i="5"/>
  <c r="D175" i="5"/>
  <c r="C175" i="5"/>
  <c r="K174" i="5"/>
  <c r="J174" i="5"/>
  <c r="I174" i="5"/>
  <c r="H174" i="5"/>
  <c r="G174" i="5"/>
  <c r="F174" i="5"/>
  <c r="E174" i="5"/>
  <c r="D174" i="5"/>
  <c r="C174" i="5"/>
  <c r="K173" i="5"/>
  <c r="J173" i="5"/>
  <c r="I173" i="5"/>
  <c r="H173" i="5"/>
  <c r="G173" i="5"/>
  <c r="F173" i="5"/>
  <c r="E173" i="5"/>
  <c r="D173" i="5"/>
  <c r="C173" i="5"/>
  <c r="K172" i="5"/>
  <c r="J172" i="5"/>
  <c r="I172" i="5"/>
  <c r="H172" i="5"/>
  <c r="G172" i="5"/>
  <c r="F172" i="5"/>
  <c r="E172" i="5"/>
  <c r="D172" i="5"/>
  <c r="C172" i="5"/>
  <c r="K171" i="5"/>
  <c r="J171" i="5"/>
  <c r="I171" i="5"/>
  <c r="H171" i="5"/>
  <c r="G171" i="5"/>
  <c r="F171" i="5"/>
  <c r="E171" i="5"/>
  <c r="D171" i="5"/>
  <c r="C171" i="5"/>
  <c r="K170" i="5"/>
  <c r="J170" i="5"/>
  <c r="I170" i="5"/>
  <c r="H170" i="5"/>
  <c r="G170" i="5"/>
  <c r="F170" i="5"/>
  <c r="E170" i="5"/>
  <c r="D170" i="5"/>
  <c r="C170" i="5"/>
  <c r="K169" i="5"/>
  <c r="J169" i="5"/>
  <c r="I169" i="5"/>
  <c r="H169" i="5"/>
  <c r="G169" i="5"/>
  <c r="F169" i="5"/>
  <c r="E169" i="5"/>
  <c r="D169" i="5"/>
  <c r="C169" i="5"/>
  <c r="K168" i="5"/>
  <c r="J168" i="5"/>
  <c r="I168" i="5"/>
  <c r="H168" i="5"/>
  <c r="G168" i="5"/>
  <c r="F168" i="5"/>
  <c r="E168" i="5"/>
  <c r="D168" i="5"/>
  <c r="C168" i="5"/>
  <c r="K167" i="5"/>
  <c r="J167" i="5"/>
  <c r="I167" i="5"/>
  <c r="H167" i="5"/>
  <c r="G167" i="5"/>
  <c r="F167" i="5"/>
  <c r="E167" i="5"/>
  <c r="D167" i="5"/>
  <c r="C167" i="5"/>
  <c r="K166" i="5"/>
  <c r="J166" i="5"/>
  <c r="I166" i="5"/>
  <c r="H166" i="5"/>
  <c r="G166" i="5"/>
  <c r="F166" i="5"/>
  <c r="E166" i="5"/>
  <c r="D166" i="5"/>
  <c r="C166" i="5"/>
  <c r="K165" i="5"/>
  <c r="J165" i="5"/>
  <c r="I165" i="5"/>
  <c r="H165" i="5"/>
  <c r="G165" i="5"/>
  <c r="F165" i="5"/>
  <c r="E165" i="5"/>
  <c r="D165" i="5"/>
  <c r="C165" i="5"/>
  <c r="K164" i="5"/>
  <c r="J164" i="5"/>
  <c r="I164" i="5"/>
  <c r="H164" i="5"/>
  <c r="G164" i="5"/>
  <c r="F164" i="5"/>
  <c r="E164" i="5"/>
  <c r="D164" i="5"/>
  <c r="C164" i="5"/>
  <c r="K163" i="5"/>
  <c r="J163" i="5"/>
  <c r="I163" i="5"/>
  <c r="H163" i="5"/>
  <c r="G163" i="5"/>
  <c r="F163" i="5"/>
  <c r="E163" i="5"/>
  <c r="D163" i="5"/>
  <c r="C163" i="5"/>
  <c r="K162" i="5"/>
  <c r="J162" i="5"/>
  <c r="I162" i="5"/>
  <c r="H162" i="5"/>
  <c r="G162" i="5"/>
  <c r="F162" i="5"/>
  <c r="E162" i="5"/>
  <c r="D162" i="5"/>
  <c r="C162" i="5"/>
  <c r="K161" i="5"/>
  <c r="J161" i="5"/>
  <c r="I161" i="5"/>
  <c r="H161" i="5"/>
  <c r="G161" i="5"/>
  <c r="F161" i="5"/>
  <c r="E161" i="5"/>
  <c r="D161" i="5"/>
  <c r="C161" i="5"/>
  <c r="K160" i="5"/>
  <c r="J160" i="5"/>
  <c r="I160" i="5"/>
  <c r="H160" i="5"/>
  <c r="G160" i="5"/>
  <c r="F160" i="5"/>
  <c r="E160" i="5"/>
  <c r="D160" i="5"/>
  <c r="C160" i="5"/>
  <c r="K159" i="5"/>
  <c r="J159" i="5"/>
  <c r="I159" i="5"/>
  <c r="H159" i="5"/>
  <c r="G159" i="5"/>
  <c r="F159" i="5"/>
  <c r="E159" i="5"/>
  <c r="D159" i="5"/>
  <c r="C159" i="5"/>
  <c r="K158" i="5"/>
  <c r="J158" i="5"/>
  <c r="I158" i="5"/>
  <c r="H158" i="5"/>
  <c r="G158" i="5"/>
  <c r="F158" i="5"/>
  <c r="E158" i="5"/>
  <c r="D158" i="5"/>
  <c r="C158" i="5"/>
  <c r="K157" i="5"/>
  <c r="J157" i="5"/>
  <c r="I157" i="5"/>
  <c r="H157" i="5"/>
  <c r="G157" i="5"/>
  <c r="F157" i="5"/>
  <c r="E157" i="5"/>
  <c r="D157" i="5"/>
  <c r="C157" i="5"/>
  <c r="K156" i="5"/>
  <c r="J156" i="5"/>
  <c r="I156" i="5"/>
  <c r="H156" i="5"/>
  <c r="G156" i="5"/>
  <c r="F156" i="5"/>
  <c r="E156" i="5"/>
  <c r="D156" i="5"/>
  <c r="C156" i="5"/>
  <c r="K155" i="5"/>
  <c r="J155" i="5"/>
  <c r="I155" i="5"/>
  <c r="H155" i="5"/>
  <c r="G155" i="5"/>
  <c r="F155" i="5"/>
  <c r="E155" i="5"/>
  <c r="D155" i="5"/>
  <c r="C155" i="5"/>
  <c r="K154" i="5"/>
  <c r="J154" i="5"/>
  <c r="I154" i="5"/>
  <c r="H154" i="5"/>
  <c r="G154" i="5"/>
  <c r="F154" i="5"/>
  <c r="E154" i="5"/>
  <c r="D154" i="5"/>
  <c r="C154" i="5"/>
  <c r="K153" i="5"/>
  <c r="J153" i="5"/>
  <c r="I153" i="5"/>
  <c r="H153" i="5"/>
  <c r="G153" i="5"/>
  <c r="F153" i="5"/>
  <c r="E153" i="5"/>
  <c r="D153" i="5"/>
  <c r="C153" i="5"/>
  <c r="K152" i="5"/>
  <c r="J152" i="5"/>
  <c r="I152" i="5"/>
  <c r="H152" i="5"/>
  <c r="G152" i="5"/>
  <c r="F152" i="5"/>
  <c r="E152" i="5"/>
  <c r="D152" i="5"/>
  <c r="C152" i="5"/>
  <c r="K151" i="5"/>
  <c r="J151" i="5"/>
  <c r="I151" i="5"/>
  <c r="H151" i="5"/>
  <c r="G151" i="5"/>
  <c r="F151" i="5"/>
  <c r="E151" i="5"/>
  <c r="D151" i="5"/>
  <c r="C151" i="5"/>
  <c r="K150" i="5"/>
  <c r="J150" i="5"/>
  <c r="I150" i="5"/>
  <c r="H150" i="5"/>
  <c r="G150" i="5"/>
  <c r="F150" i="5"/>
  <c r="E150" i="5"/>
  <c r="D150" i="5"/>
  <c r="C150" i="5"/>
  <c r="K149" i="5"/>
  <c r="J149" i="5"/>
  <c r="I149" i="5"/>
  <c r="H149" i="5"/>
  <c r="G149" i="5"/>
  <c r="F149" i="5"/>
  <c r="E149" i="5"/>
  <c r="D149" i="5"/>
  <c r="C149" i="5"/>
  <c r="K148" i="5"/>
  <c r="J148" i="5"/>
  <c r="I148" i="5"/>
  <c r="H148" i="5"/>
  <c r="G148" i="5"/>
  <c r="F148" i="5"/>
  <c r="E148" i="5"/>
  <c r="D148" i="5"/>
  <c r="C148" i="5"/>
  <c r="K147" i="5"/>
  <c r="J147" i="5"/>
  <c r="I147" i="5"/>
  <c r="H147" i="5"/>
  <c r="G147" i="5"/>
  <c r="F147" i="5"/>
  <c r="E147" i="5"/>
  <c r="D147" i="5"/>
  <c r="C147" i="5"/>
  <c r="K146" i="5"/>
  <c r="J146" i="5"/>
  <c r="I146" i="5"/>
  <c r="H146" i="5"/>
  <c r="G146" i="5"/>
  <c r="F146" i="5"/>
  <c r="E146" i="5"/>
  <c r="D146" i="5"/>
  <c r="C146" i="5"/>
  <c r="K145" i="5"/>
  <c r="J145" i="5"/>
  <c r="I145" i="5"/>
  <c r="H145" i="5"/>
  <c r="G145" i="5"/>
  <c r="F145" i="5"/>
  <c r="E145" i="5"/>
  <c r="D145" i="5"/>
  <c r="C145" i="5"/>
  <c r="K144" i="5"/>
  <c r="J144" i="5"/>
  <c r="I144" i="5"/>
  <c r="H144" i="5"/>
  <c r="G144" i="5"/>
  <c r="F144" i="5"/>
  <c r="E144" i="5"/>
  <c r="D144" i="5"/>
  <c r="C144" i="5"/>
  <c r="K143" i="5"/>
  <c r="J143" i="5"/>
  <c r="I143" i="5"/>
  <c r="H143" i="5"/>
  <c r="G143" i="5"/>
  <c r="F143" i="5"/>
  <c r="E143" i="5"/>
  <c r="D143" i="5"/>
  <c r="C143" i="5"/>
  <c r="K142" i="5"/>
  <c r="J142" i="5"/>
  <c r="I142" i="5"/>
  <c r="H142" i="5"/>
  <c r="G142" i="5"/>
  <c r="F142" i="5"/>
  <c r="E142" i="5"/>
  <c r="D142" i="5"/>
  <c r="C142" i="5"/>
  <c r="K141" i="5"/>
  <c r="J141" i="5"/>
  <c r="I141" i="5"/>
  <c r="H141" i="5"/>
  <c r="G141" i="5"/>
  <c r="F141" i="5"/>
  <c r="E141" i="5"/>
  <c r="D141" i="5"/>
  <c r="C141" i="5"/>
  <c r="K140" i="5"/>
  <c r="J140" i="5"/>
  <c r="I140" i="5"/>
  <c r="H140" i="5"/>
  <c r="G140" i="5"/>
  <c r="F140" i="5"/>
  <c r="E140" i="5"/>
  <c r="D140" i="5"/>
  <c r="C140" i="5"/>
  <c r="K139" i="5"/>
  <c r="J139" i="5"/>
  <c r="I139" i="5"/>
  <c r="H139" i="5"/>
  <c r="G139" i="5"/>
  <c r="F139" i="5"/>
  <c r="E139" i="5"/>
  <c r="D139" i="5"/>
  <c r="C139" i="5"/>
  <c r="K138" i="5"/>
  <c r="J138" i="5"/>
  <c r="I138" i="5"/>
  <c r="H138" i="5"/>
  <c r="G138" i="5"/>
  <c r="F138" i="5"/>
  <c r="E138" i="5"/>
  <c r="D138" i="5"/>
  <c r="C138" i="5"/>
  <c r="K137" i="5"/>
  <c r="J137" i="5"/>
  <c r="I137" i="5"/>
  <c r="H137" i="5"/>
  <c r="G137" i="5"/>
  <c r="F137" i="5"/>
  <c r="E137" i="5"/>
  <c r="D137" i="5"/>
  <c r="C137" i="5"/>
  <c r="K136" i="5"/>
  <c r="J136" i="5"/>
  <c r="I136" i="5"/>
  <c r="H136" i="5"/>
  <c r="G136" i="5"/>
  <c r="F136" i="5"/>
  <c r="E136" i="5"/>
  <c r="D136" i="5"/>
  <c r="C136" i="5"/>
  <c r="K135" i="5"/>
  <c r="J135" i="5"/>
  <c r="I135" i="5"/>
  <c r="H135" i="5"/>
  <c r="G135" i="5"/>
  <c r="F135" i="5"/>
  <c r="E135" i="5"/>
  <c r="D135" i="5"/>
  <c r="C135" i="5"/>
  <c r="K134" i="5"/>
  <c r="J134" i="5"/>
  <c r="I134" i="5"/>
  <c r="H134" i="5"/>
  <c r="G134" i="5"/>
  <c r="F134" i="5"/>
  <c r="E134" i="5"/>
  <c r="D134" i="5"/>
  <c r="C134" i="5"/>
  <c r="K133" i="5"/>
  <c r="J133" i="5"/>
  <c r="I133" i="5"/>
  <c r="H133" i="5"/>
  <c r="G133" i="5"/>
  <c r="F133" i="5"/>
  <c r="E133" i="5"/>
  <c r="D133" i="5"/>
  <c r="C133" i="5"/>
  <c r="K132" i="5"/>
  <c r="J132" i="5"/>
  <c r="I132" i="5"/>
  <c r="H132" i="5"/>
  <c r="G132" i="5"/>
  <c r="F132" i="5"/>
  <c r="E132" i="5"/>
  <c r="D132" i="5"/>
  <c r="C132" i="5"/>
  <c r="K131" i="5"/>
  <c r="J131" i="5"/>
  <c r="I131" i="5"/>
  <c r="H131" i="5"/>
  <c r="G131" i="5"/>
  <c r="F131" i="5"/>
  <c r="E131" i="5"/>
  <c r="D131" i="5"/>
  <c r="C131" i="5"/>
  <c r="K130" i="5"/>
  <c r="J130" i="5"/>
  <c r="I130" i="5"/>
  <c r="H130" i="5"/>
  <c r="G130" i="5"/>
  <c r="F130" i="5"/>
  <c r="E130" i="5"/>
  <c r="D130" i="5"/>
  <c r="C130" i="5"/>
  <c r="K129" i="5"/>
  <c r="J129" i="5"/>
  <c r="I129" i="5"/>
  <c r="H129" i="5"/>
  <c r="G129" i="5"/>
  <c r="F129" i="5"/>
  <c r="E129" i="5"/>
  <c r="D129" i="5"/>
  <c r="C129" i="5"/>
  <c r="K128" i="5"/>
  <c r="J128" i="5"/>
  <c r="I128" i="5"/>
  <c r="H128" i="5"/>
  <c r="G128" i="5"/>
  <c r="F128" i="5"/>
  <c r="E128" i="5"/>
  <c r="D128" i="5"/>
  <c r="C128" i="5"/>
  <c r="K127" i="5"/>
  <c r="J127" i="5"/>
  <c r="I127" i="5"/>
  <c r="H127" i="5"/>
  <c r="G127" i="5"/>
  <c r="F127" i="5"/>
  <c r="E127" i="5"/>
  <c r="D127" i="5"/>
  <c r="C127" i="5"/>
  <c r="K126" i="5"/>
  <c r="J126" i="5"/>
  <c r="I126" i="5"/>
  <c r="H126" i="5"/>
  <c r="G126" i="5"/>
  <c r="F126" i="5"/>
  <c r="E126" i="5"/>
  <c r="D126" i="5"/>
  <c r="C126" i="5"/>
  <c r="K125" i="5"/>
  <c r="J125" i="5"/>
  <c r="I125" i="5"/>
  <c r="H125" i="5"/>
  <c r="G125" i="5"/>
  <c r="F125" i="5"/>
  <c r="E125" i="5"/>
  <c r="D125" i="5"/>
  <c r="C125" i="5"/>
  <c r="K124" i="5"/>
  <c r="J124" i="5"/>
  <c r="I124" i="5"/>
  <c r="H124" i="5"/>
  <c r="G124" i="5"/>
  <c r="F124" i="5"/>
  <c r="E124" i="5"/>
  <c r="D124" i="5"/>
  <c r="C124" i="5"/>
  <c r="K123" i="5"/>
  <c r="J123" i="5"/>
  <c r="I123" i="5"/>
  <c r="H123" i="5"/>
  <c r="G123" i="5"/>
  <c r="F123" i="5"/>
  <c r="E123" i="5"/>
  <c r="D123" i="5"/>
  <c r="C123" i="5"/>
  <c r="K122" i="5"/>
  <c r="J122" i="5"/>
  <c r="I122" i="5"/>
  <c r="H122" i="5"/>
  <c r="G122" i="5"/>
  <c r="F122" i="5"/>
  <c r="E122" i="5"/>
  <c r="D122" i="5"/>
  <c r="C122" i="5"/>
  <c r="K121" i="5"/>
  <c r="J121" i="5"/>
  <c r="I121" i="5"/>
  <c r="H121" i="5"/>
  <c r="G121" i="5"/>
  <c r="F121" i="5"/>
  <c r="E121" i="5"/>
  <c r="D121" i="5"/>
  <c r="C121" i="5"/>
  <c r="K120" i="5"/>
  <c r="J120" i="5"/>
  <c r="I120" i="5"/>
  <c r="H120" i="5"/>
  <c r="G120" i="5"/>
  <c r="F120" i="5"/>
  <c r="E120" i="5"/>
  <c r="D120" i="5"/>
  <c r="C120" i="5"/>
  <c r="K119" i="5"/>
  <c r="J119" i="5"/>
  <c r="I119" i="5"/>
  <c r="H119" i="5"/>
  <c r="G119" i="5"/>
  <c r="F119" i="5"/>
  <c r="E119" i="5"/>
  <c r="D119" i="5"/>
  <c r="C119" i="5"/>
  <c r="K118" i="5"/>
  <c r="J118" i="5"/>
  <c r="I118" i="5"/>
  <c r="H118" i="5"/>
  <c r="G118" i="5"/>
  <c r="F118" i="5"/>
  <c r="E118" i="5"/>
  <c r="D118" i="5"/>
  <c r="C118" i="5"/>
  <c r="K117" i="5"/>
  <c r="J117" i="5"/>
  <c r="I117" i="5"/>
  <c r="H117" i="5"/>
  <c r="G117" i="5"/>
  <c r="F117" i="5"/>
  <c r="E117" i="5"/>
  <c r="D117" i="5"/>
  <c r="C117" i="5"/>
  <c r="K116" i="5"/>
  <c r="J116" i="5"/>
  <c r="I116" i="5"/>
  <c r="H116" i="5"/>
  <c r="G116" i="5"/>
  <c r="F116" i="5"/>
  <c r="E116" i="5"/>
  <c r="D116" i="5"/>
  <c r="C116" i="5"/>
  <c r="K115" i="5"/>
  <c r="J115" i="5"/>
  <c r="I115" i="5"/>
  <c r="H115" i="5"/>
  <c r="G115" i="5"/>
  <c r="F115" i="5"/>
  <c r="E115" i="5"/>
  <c r="D115" i="5"/>
  <c r="C115" i="5"/>
  <c r="K114" i="5"/>
  <c r="J114" i="5"/>
  <c r="I114" i="5"/>
  <c r="H114" i="5"/>
  <c r="G114" i="5"/>
  <c r="F114" i="5"/>
  <c r="E114" i="5"/>
  <c r="D114" i="5"/>
  <c r="C114" i="5"/>
  <c r="K113" i="5"/>
  <c r="J113" i="5"/>
  <c r="I113" i="5"/>
  <c r="H113" i="5"/>
  <c r="G113" i="5"/>
  <c r="F113" i="5"/>
  <c r="E113" i="5"/>
  <c r="D113" i="5"/>
  <c r="C113" i="5"/>
  <c r="K112" i="5"/>
  <c r="J112" i="5"/>
  <c r="I112" i="5"/>
  <c r="H112" i="5"/>
  <c r="G112" i="5"/>
  <c r="F112" i="5"/>
  <c r="E112" i="5"/>
  <c r="D112" i="5"/>
  <c r="C112" i="5"/>
  <c r="K111" i="5"/>
  <c r="J111" i="5"/>
  <c r="I111" i="5"/>
  <c r="H111" i="5"/>
  <c r="G111" i="5"/>
  <c r="F111" i="5"/>
  <c r="E111" i="5"/>
  <c r="D111" i="5"/>
  <c r="C111" i="5"/>
  <c r="K110" i="5"/>
  <c r="J110" i="5"/>
  <c r="I110" i="5"/>
  <c r="H110" i="5"/>
  <c r="G110" i="5"/>
  <c r="F110" i="5"/>
  <c r="E110" i="5"/>
  <c r="D110" i="5"/>
  <c r="C110" i="5"/>
  <c r="K109" i="5"/>
  <c r="J109" i="5"/>
  <c r="I109" i="5"/>
  <c r="H109" i="5"/>
  <c r="G109" i="5"/>
  <c r="F109" i="5"/>
  <c r="E109" i="5"/>
  <c r="D109" i="5"/>
  <c r="C109" i="5"/>
  <c r="K108" i="5"/>
  <c r="J108" i="5"/>
  <c r="I108" i="5"/>
  <c r="H108" i="5"/>
  <c r="G108" i="5"/>
  <c r="F108" i="5"/>
  <c r="E108" i="5"/>
  <c r="D108" i="5"/>
  <c r="C108" i="5"/>
  <c r="K107" i="5"/>
  <c r="J107" i="5"/>
  <c r="I107" i="5"/>
  <c r="H107" i="5"/>
  <c r="G107" i="5"/>
  <c r="F107" i="5"/>
  <c r="E107" i="5"/>
  <c r="D107" i="5"/>
  <c r="C107" i="5"/>
  <c r="K106" i="5"/>
  <c r="J106" i="5"/>
  <c r="I106" i="5"/>
  <c r="H106" i="5"/>
  <c r="G106" i="5"/>
  <c r="F106" i="5"/>
  <c r="E106" i="5"/>
  <c r="D106" i="5"/>
  <c r="C106" i="5"/>
  <c r="K105" i="5"/>
  <c r="J105" i="5"/>
  <c r="I105" i="5"/>
  <c r="H105" i="5"/>
  <c r="G105" i="5"/>
  <c r="F105" i="5"/>
  <c r="E105" i="5"/>
  <c r="D105" i="5"/>
  <c r="C105" i="5"/>
  <c r="K104" i="5"/>
  <c r="J104" i="5"/>
  <c r="I104" i="5"/>
  <c r="H104" i="5"/>
  <c r="G104" i="5"/>
  <c r="F104" i="5"/>
  <c r="E104" i="5"/>
  <c r="D104" i="5"/>
  <c r="C104" i="5"/>
  <c r="K103" i="5"/>
  <c r="J103" i="5"/>
  <c r="I103" i="5"/>
  <c r="H103" i="5"/>
  <c r="G103" i="5"/>
  <c r="F103" i="5"/>
  <c r="E103" i="5"/>
  <c r="D103" i="5"/>
  <c r="C103" i="5"/>
  <c r="K102" i="5"/>
  <c r="J102" i="5"/>
  <c r="I102" i="5"/>
  <c r="H102" i="5"/>
  <c r="G102" i="5"/>
  <c r="F102" i="5"/>
  <c r="E102" i="5"/>
  <c r="D102" i="5"/>
  <c r="C102" i="5"/>
  <c r="K101" i="5"/>
  <c r="J101" i="5"/>
  <c r="I101" i="5"/>
  <c r="H101" i="5"/>
  <c r="G101" i="5"/>
  <c r="F101" i="5"/>
  <c r="E101" i="5"/>
  <c r="D101" i="5"/>
  <c r="C101" i="5"/>
  <c r="K100" i="5"/>
  <c r="J100" i="5"/>
  <c r="I100" i="5"/>
  <c r="H100" i="5"/>
  <c r="G100" i="5"/>
  <c r="F100" i="5"/>
  <c r="E100" i="5"/>
  <c r="D100" i="5"/>
  <c r="C100" i="5"/>
  <c r="K99" i="5"/>
  <c r="J99" i="5"/>
  <c r="I99" i="5"/>
  <c r="H99" i="5"/>
  <c r="G99" i="5"/>
  <c r="F99" i="5"/>
  <c r="E99" i="5"/>
  <c r="D99" i="5"/>
  <c r="C99" i="5"/>
  <c r="K98" i="5"/>
  <c r="J98" i="5"/>
  <c r="I98" i="5"/>
  <c r="H98" i="5"/>
  <c r="G98" i="5"/>
  <c r="F98" i="5"/>
  <c r="E98" i="5"/>
  <c r="D98" i="5"/>
  <c r="C98" i="5"/>
  <c r="K97" i="5"/>
  <c r="J97" i="5"/>
  <c r="I97" i="5"/>
  <c r="H97" i="5"/>
  <c r="G97" i="5"/>
  <c r="F97" i="5"/>
  <c r="E97" i="5"/>
  <c r="D97" i="5"/>
  <c r="C97" i="5"/>
  <c r="K96" i="5"/>
  <c r="J96" i="5"/>
  <c r="I96" i="5"/>
  <c r="H96" i="5"/>
  <c r="G96" i="5"/>
  <c r="F96" i="5"/>
  <c r="E96" i="5"/>
  <c r="D96" i="5"/>
  <c r="C96" i="5"/>
  <c r="K95" i="5"/>
  <c r="J95" i="5"/>
  <c r="I95" i="5"/>
  <c r="H95" i="5"/>
  <c r="G95" i="5"/>
  <c r="F95" i="5"/>
  <c r="E95" i="5"/>
  <c r="D95" i="5"/>
  <c r="C95" i="5"/>
  <c r="K94" i="5"/>
  <c r="J94" i="5"/>
  <c r="I94" i="5"/>
  <c r="H94" i="5"/>
  <c r="G94" i="5"/>
  <c r="F94" i="5"/>
  <c r="E94" i="5"/>
  <c r="D94" i="5"/>
  <c r="C94" i="5"/>
  <c r="K93" i="5"/>
  <c r="J93" i="5"/>
  <c r="I93" i="5"/>
  <c r="H93" i="5"/>
  <c r="G93" i="5"/>
  <c r="F93" i="5"/>
  <c r="E93" i="5"/>
  <c r="D93" i="5"/>
  <c r="C93" i="5"/>
  <c r="K92" i="5"/>
  <c r="J92" i="5"/>
  <c r="I92" i="5"/>
  <c r="H92" i="5"/>
  <c r="G92" i="5"/>
  <c r="F92" i="5"/>
  <c r="E92" i="5"/>
  <c r="D92" i="5"/>
  <c r="C92" i="5"/>
  <c r="K91" i="5"/>
  <c r="J91" i="5"/>
  <c r="I91" i="5"/>
  <c r="H91" i="5"/>
  <c r="G91" i="5"/>
  <c r="F91" i="5"/>
  <c r="E91" i="5"/>
  <c r="D91" i="5"/>
  <c r="C91" i="5"/>
  <c r="K90" i="5"/>
  <c r="J90" i="5"/>
  <c r="I90" i="5"/>
  <c r="H90" i="5"/>
  <c r="G90" i="5"/>
  <c r="F90" i="5"/>
  <c r="E90" i="5"/>
  <c r="D90" i="5"/>
  <c r="C90" i="5"/>
  <c r="K89" i="5"/>
  <c r="J89" i="5"/>
  <c r="I89" i="5"/>
  <c r="H89" i="5"/>
  <c r="G89" i="5"/>
  <c r="F89" i="5"/>
  <c r="E89" i="5"/>
  <c r="D89" i="5"/>
  <c r="C89" i="5"/>
  <c r="K88" i="5"/>
  <c r="J88" i="5"/>
  <c r="I88" i="5"/>
  <c r="H88" i="5"/>
  <c r="G88" i="5"/>
  <c r="F88" i="5"/>
  <c r="E88" i="5"/>
  <c r="D88" i="5"/>
  <c r="C88" i="5"/>
  <c r="K87" i="5"/>
  <c r="J87" i="5"/>
  <c r="I87" i="5"/>
  <c r="H87" i="5"/>
  <c r="G87" i="5"/>
  <c r="F87" i="5"/>
  <c r="E87" i="5"/>
  <c r="D87" i="5"/>
  <c r="C87" i="5"/>
  <c r="K86" i="5"/>
  <c r="J86" i="5"/>
  <c r="I86" i="5"/>
  <c r="H86" i="5"/>
  <c r="G86" i="5"/>
  <c r="F86" i="5"/>
  <c r="E86" i="5"/>
  <c r="D86" i="5"/>
  <c r="C86" i="5"/>
  <c r="K85" i="5"/>
  <c r="J85" i="5"/>
  <c r="I85" i="5"/>
  <c r="H85" i="5"/>
  <c r="G85" i="5"/>
  <c r="F85" i="5"/>
  <c r="E85" i="5"/>
  <c r="D85" i="5"/>
  <c r="C85" i="5"/>
  <c r="K84" i="5"/>
  <c r="J84" i="5"/>
  <c r="I84" i="5"/>
  <c r="H84" i="5"/>
  <c r="G84" i="5"/>
  <c r="F84" i="5"/>
  <c r="E84" i="5"/>
  <c r="D84" i="5"/>
  <c r="C84" i="5"/>
  <c r="K83" i="5"/>
  <c r="J83" i="5"/>
  <c r="I83" i="5"/>
  <c r="H83" i="5"/>
  <c r="G83" i="5"/>
  <c r="F83" i="5"/>
  <c r="E83" i="5"/>
  <c r="D83" i="5"/>
  <c r="C83" i="5"/>
  <c r="K82" i="5"/>
  <c r="J82" i="5"/>
  <c r="I82" i="5"/>
  <c r="H82" i="5"/>
  <c r="G82" i="5"/>
  <c r="F82" i="5"/>
  <c r="E82" i="5"/>
  <c r="D82" i="5"/>
  <c r="C82" i="5"/>
  <c r="K81" i="5"/>
  <c r="J81" i="5"/>
  <c r="I81" i="5"/>
  <c r="H81" i="5"/>
  <c r="G81" i="5"/>
  <c r="F81" i="5"/>
  <c r="E81" i="5"/>
  <c r="D81" i="5"/>
  <c r="C81" i="5"/>
  <c r="K80" i="5"/>
  <c r="J80" i="5"/>
  <c r="I80" i="5"/>
  <c r="H80" i="5"/>
  <c r="G80" i="5"/>
  <c r="F80" i="5"/>
  <c r="E80" i="5"/>
  <c r="D80" i="5"/>
  <c r="C80" i="5"/>
  <c r="K79" i="5"/>
  <c r="J79" i="5"/>
  <c r="I79" i="5"/>
  <c r="H79" i="5"/>
  <c r="G79" i="5"/>
  <c r="F79" i="5"/>
  <c r="E79" i="5"/>
  <c r="D79" i="5"/>
  <c r="C79" i="5"/>
  <c r="K78" i="5"/>
  <c r="J78" i="5"/>
  <c r="I78" i="5"/>
  <c r="H78" i="5"/>
  <c r="G78" i="5"/>
  <c r="F78" i="5"/>
  <c r="E78" i="5"/>
  <c r="D78" i="5"/>
  <c r="C78" i="5"/>
  <c r="K77" i="5"/>
  <c r="J77" i="5"/>
  <c r="I77" i="5"/>
  <c r="H77" i="5"/>
  <c r="G77" i="5"/>
  <c r="F77" i="5"/>
  <c r="E77" i="5"/>
  <c r="D77" i="5"/>
  <c r="C77" i="5"/>
  <c r="K76" i="5"/>
  <c r="J76" i="5"/>
  <c r="I76" i="5"/>
  <c r="H76" i="5"/>
  <c r="G76" i="5"/>
  <c r="F76" i="5"/>
  <c r="E76" i="5"/>
  <c r="D76" i="5"/>
  <c r="C76" i="5"/>
  <c r="K75" i="5"/>
  <c r="J75" i="5"/>
  <c r="I75" i="5"/>
  <c r="H75" i="5"/>
  <c r="G75" i="5"/>
  <c r="F75" i="5"/>
  <c r="E75" i="5"/>
  <c r="D75" i="5"/>
  <c r="C75" i="5"/>
  <c r="K74" i="5"/>
  <c r="J74" i="5"/>
  <c r="I74" i="5"/>
  <c r="H74" i="5"/>
  <c r="G74" i="5"/>
  <c r="F74" i="5"/>
  <c r="E74" i="5"/>
  <c r="D74" i="5"/>
  <c r="C74" i="5"/>
  <c r="K73" i="5"/>
  <c r="J73" i="5"/>
  <c r="I73" i="5"/>
  <c r="H73" i="5"/>
  <c r="G73" i="5"/>
  <c r="F73" i="5"/>
  <c r="E73" i="5"/>
  <c r="D73" i="5"/>
  <c r="C73" i="5"/>
  <c r="K72" i="5"/>
  <c r="J72" i="5"/>
  <c r="I72" i="5"/>
  <c r="H72" i="5"/>
  <c r="G72" i="5"/>
  <c r="F72" i="5"/>
  <c r="E72" i="5"/>
  <c r="D72" i="5"/>
  <c r="C72" i="5"/>
  <c r="K71" i="5"/>
  <c r="J71" i="5"/>
  <c r="I71" i="5"/>
  <c r="H71" i="5"/>
  <c r="G71" i="5"/>
  <c r="F71" i="5"/>
  <c r="E71" i="5"/>
  <c r="D71" i="5"/>
  <c r="C71" i="5"/>
  <c r="K70" i="5"/>
  <c r="J70" i="5"/>
  <c r="I70" i="5"/>
  <c r="H70" i="5"/>
  <c r="G70" i="5"/>
  <c r="F70" i="5"/>
  <c r="E70" i="5"/>
  <c r="D70" i="5"/>
  <c r="C70" i="5"/>
  <c r="K69" i="5"/>
  <c r="J69" i="5"/>
  <c r="I69" i="5"/>
  <c r="H69" i="5"/>
  <c r="G69" i="5"/>
  <c r="F69" i="5"/>
  <c r="E69" i="5"/>
  <c r="D69" i="5"/>
  <c r="C69" i="5"/>
  <c r="K68" i="5"/>
  <c r="J68" i="5"/>
  <c r="I68" i="5"/>
  <c r="H68" i="5"/>
  <c r="G68" i="5"/>
  <c r="F68" i="5"/>
  <c r="E68" i="5"/>
  <c r="D68" i="5"/>
  <c r="C68" i="5"/>
  <c r="K67" i="5"/>
  <c r="J67" i="5"/>
  <c r="I67" i="5"/>
  <c r="H67" i="5"/>
  <c r="G67" i="5"/>
  <c r="F67" i="5"/>
  <c r="E67" i="5"/>
  <c r="D67" i="5"/>
  <c r="C67" i="5"/>
  <c r="K66" i="5"/>
  <c r="J66" i="5"/>
  <c r="I66" i="5"/>
  <c r="H66" i="5"/>
  <c r="G66" i="5"/>
  <c r="F66" i="5"/>
  <c r="E66" i="5"/>
  <c r="D66" i="5"/>
  <c r="C66" i="5"/>
  <c r="K65" i="5"/>
  <c r="J65" i="5"/>
  <c r="I65" i="5"/>
  <c r="H65" i="5"/>
  <c r="G65" i="5"/>
  <c r="F65" i="5"/>
  <c r="E65" i="5"/>
  <c r="D65" i="5"/>
  <c r="C65" i="5"/>
  <c r="K64" i="5"/>
  <c r="J64" i="5"/>
  <c r="I64" i="5"/>
  <c r="H64" i="5"/>
  <c r="G64" i="5"/>
  <c r="F64" i="5"/>
  <c r="E64" i="5"/>
  <c r="D64" i="5"/>
  <c r="C64" i="5"/>
  <c r="K63" i="5"/>
  <c r="J63" i="5"/>
  <c r="I63" i="5"/>
  <c r="H63" i="5"/>
  <c r="G63" i="5"/>
  <c r="F63" i="5"/>
  <c r="E63" i="5"/>
  <c r="D63" i="5"/>
  <c r="C63" i="5"/>
  <c r="K62" i="5"/>
  <c r="J62" i="5"/>
  <c r="I62" i="5"/>
  <c r="H62" i="5"/>
  <c r="G62" i="5"/>
  <c r="F62" i="5"/>
  <c r="E62" i="5"/>
  <c r="D62" i="5"/>
  <c r="C62" i="5"/>
  <c r="K61" i="5"/>
  <c r="J61" i="5"/>
  <c r="I61" i="5"/>
  <c r="H61" i="5"/>
  <c r="G61" i="5"/>
  <c r="F61" i="5"/>
  <c r="E61" i="5"/>
  <c r="D61" i="5"/>
  <c r="C61" i="5"/>
  <c r="K60" i="5"/>
  <c r="J60" i="5"/>
  <c r="I60" i="5"/>
  <c r="H60" i="5"/>
  <c r="G60" i="5"/>
  <c r="F60" i="5"/>
  <c r="E60" i="5"/>
  <c r="D60" i="5"/>
  <c r="C60" i="5"/>
  <c r="K59" i="5"/>
  <c r="J59" i="5"/>
  <c r="I59" i="5"/>
  <c r="H59" i="5"/>
  <c r="G59" i="5"/>
  <c r="F59" i="5"/>
  <c r="E59" i="5"/>
  <c r="D59" i="5"/>
  <c r="C59" i="5"/>
  <c r="K58" i="5"/>
  <c r="J58" i="5"/>
  <c r="I58" i="5"/>
  <c r="H58" i="5"/>
  <c r="G58" i="5"/>
  <c r="F58" i="5"/>
  <c r="E58" i="5"/>
  <c r="D58" i="5"/>
  <c r="C58" i="5"/>
  <c r="K57" i="5"/>
  <c r="J57" i="5"/>
  <c r="I57" i="5"/>
  <c r="H57" i="5"/>
  <c r="G57" i="5"/>
  <c r="F57" i="5"/>
  <c r="E57" i="5"/>
  <c r="D57" i="5"/>
  <c r="C57" i="5"/>
  <c r="K56" i="5"/>
  <c r="J56" i="5"/>
  <c r="I56" i="5"/>
  <c r="H56" i="5"/>
  <c r="G56" i="5"/>
  <c r="F56" i="5"/>
  <c r="E56" i="5"/>
  <c r="D56" i="5"/>
  <c r="C56" i="5"/>
  <c r="K55" i="5"/>
  <c r="J55" i="5"/>
  <c r="I55" i="5"/>
  <c r="H55" i="5"/>
  <c r="G55" i="5"/>
  <c r="F55" i="5"/>
  <c r="E55" i="5"/>
  <c r="D55" i="5"/>
  <c r="C55" i="5"/>
  <c r="K54" i="5"/>
  <c r="J54" i="5"/>
  <c r="I54" i="5"/>
  <c r="H54" i="5"/>
  <c r="G54" i="5"/>
  <c r="F54" i="5"/>
  <c r="E54" i="5"/>
  <c r="D54" i="5"/>
  <c r="C54" i="5"/>
  <c r="K53" i="5"/>
  <c r="J53" i="5"/>
  <c r="I53" i="5"/>
  <c r="H53" i="5"/>
  <c r="G53" i="5"/>
  <c r="F53" i="5"/>
  <c r="E53" i="5"/>
  <c r="D53" i="5"/>
  <c r="C53" i="5"/>
  <c r="K52" i="5"/>
  <c r="J52" i="5"/>
  <c r="I52" i="5"/>
  <c r="H52" i="5"/>
  <c r="G52" i="5"/>
  <c r="F52" i="5"/>
  <c r="E52" i="5"/>
  <c r="D52" i="5"/>
  <c r="C52" i="5"/>
  <c r="K51" i="5"/>
  <c r="J51" i="5"/>
  <c r="I51" i="5"/>
  <c r="H51" i="5"/>
  <c r="G51" i="5"/>
  <c r="F51" i="5"/>
  <c r="E51" i="5"/>
  <c r="D51" i="5"/>
  <c r="C51" i="5"/>
  <c r="K50" i="5"/>
  <c r="J50" i="5"/>
  <c r="I50" i="5"/>
  <c r="H50" i="5"/>
  <c r="G50" i="5"/>
  <c r="F50" i="5"/>
  <c r="E50" i="5"/>
  <c r="D50" i="5"/>
  <c r="C50" i="5"/>
  <c r="K49" i="5"/>
  <c r="J49" i="5"/>
  <c r="I49" i="5"/>
  <c r="H49" i="5"/>
  <c r="G49" i="5"/>
  <c r="F49" i="5"/>
  <c r="E49" i="5"/>
  <c r="D49" i="5"/>
  <c r="C49" i="5"/>
  <c r="K48" i="5"/>
  <c r="J48" i="5"/>
  <c r="I48" i="5"/>
  <c r="H48" i="5"/>
  <c r="G48" i="5"/>
  <c r="F48" i="5"/>
  <c r="E48" i="5"/>
  <c r="D48" i="5"/>
  <c r="C48" i="5"/>
  <c r="K47" i="5"/>
  <c r="J47" i="5"/>
  <c r="I47" i="5"/>
  <c r="H47" i="5"/>
  <c r="G47" i="5"/>
  <c r="F47" i="5"/>
  <c r="E47" i="5"/>
  <c r="D47" i="5"/>
  <c r="C47" i="5"/>
  <c r="K46" i="5"/>
  <c r="J46" i="5"/>
  <c r="I46" i="5"/>
  <c r="H46" i="5"/>
  <c r="G46" i="5"/>
  <c r="F46" i="5"/>
  <c r="E46" i="5"/>
  <c r="D46" i="5"/>
  <c r="C46" i="5"/>
  <c r="K45" i="5"/>
  <c r="J45" i="5"/>
  <c r="I45" i="5"/>
  <c r="H45" i="5"/>
  <c r="G45" i="5"/>
  <c r="F45" i="5"/>
  <c r="E45" i="5"/>
  <c r="D45" i="5"/>
  <c r="C45" i="5"/>
  <c r="K44" i="5"/>
  <c r="J44" i="5"/>
  <c r="I44" i="5"/>
  <c r="H44" i="5"/>
  <c r="G44" i="5"/>
  <c r="F44" i="5"/>
  <c r="E44" i="5"/>
  <c r="D44" i="5"/>
  <c r="C44" i="5"/>
  <c r="K43" i="5"/>
  <c r="J43" i="5"/>
  <c r="I43" i="5"/>
  <c r="H43" i="5"/>
  <c r="G43" i="5"/>
  <c r="F43" i="5"/>
  <c r="E43" i="5"/>
  <c r="D43" i="5"/>
  <c r="C43" i="5"/>
  <c r="K42" i="5"/>
  <c r="J42" i="5"/>
  <c r="I42" i="5"/>
  <c r="H42" i="5"/>
  <c r="G42" i="5"/>
  <c r="F42" i="5"/>
  <c r="E42" i="5"/>
  <c r="D42" i="5"/>
  <c r="C42" i="5"/>
  <c r="K41" i="5"/>
  <c r="J41" i="5"/>
  <c r="I41" i="5"/>
  <c r="H41" i="5"/>
  <c r="G41" i="5"/>
  <c r="F41" i="5"/>
  <c r="E41" i="5"/>
  <c r="D41" i="5"/>
  <c r="C41" i="5"/>
  <c r="K40" i="5"/>
  <c r="J40" i="5"/>
  <c r="I40" i="5"/>
  <c r="H40" i="5"/>
  <c r="G40" i="5"/>
  <c r="F40" i="5"/>
  <c r="E40" i="5"/>
  <c r="D40" i="5"/>
  <c r="C40" i="5"/>
  <c r="K39" i="5"/>
  <c r="J39" i="5"/>
  <c r="I39" i="5"/>
  <c r="H39" i="5"/>
  <c r="G39" i="5"/>
  <c r="F39" i="5"/>
  <c r="E39" i="5"/>
  <c r="D39" i="5"/>
  <c r="C39" i="5"/>
  <c r="K38" i="5"/>
  <c r="J38" i="5"/>
  <c r="I38" i="5"/>
  <c r="H38" i="5"/>
  <c r="G38" i="5"/>
  <c r="F38" i="5"/>
  <c r="E38" i="5"/>
  <c r="D38" i="5"/>
  <c r="C38" i="5"/>
  <c r="K37" i="5"/>
  <c r="J37" i="5"/>
  <c r="I37" i="5"/>
  <c r="H37" i="5"/>
  <c r="G37" i="5"/>
  <c r="F37" i="5"/>
  <c r="E37" i="5"/>
  <c r="D37" i="5"/>
  <c r="C37" i="5"/>
  <c r="K36" i="5"/>
  <c r="J36" i="5"/>
  <c r="I36" i="5"/>
  <c r="H36" i="5"/>
  <c r="G36" i="5"/>
  <c r="F36" i="5"/>
  <c r="E36" i="5"/>
  <c r="D36" i="5"/>
  <c r="C36" i="5"/>
  <c r="K35" i="5"/>
  <c r="J35" i="5"/>
  <c r="I35" i="5"/>
  <c r="H35" i="5"/>
  <c r="G35" i="5"/>
  <c r="F35" i="5"/>
  <c r="E35" i="5"/>
  <c r="D35" i="5"/>
  <c r="C35" i="5"/>
  <c r="K34" i="5"/>
  <c r="J34" i="5"/>
  <c r="I34" i="5"/>
  <c r="H34" i="5"/>
  <c r="G34" i="5"/>
  <c r="F34" i="5"/>
  <c r="E34" i="5"/>
  <c r="D34" i="5"/>
  <c r="C34" i="5"/>
  <c r="K33" i="5"/>
  <c r="J33" i="5"/>
  <c r="I33" i="5"/>
  <c r="H33" i="5"/>
  <c r="G33" i="5"/>
  <c r="F33" i="5"/>
  <c r="E33" i="5"/>
  <c r="D33" i="5"/>
  <c r="C33" i="5"/>
  <c r="K32" i="5"/>
  <c r="J32" i="5"/>
  <c r="I32" i="5"/>
  <c r="H32" i="5"/>
  <c r="G32" i="5"/>
  <c r="F32" i="5"/>
  <c r="E32" i="5"/>
  <c r="D32" i="5"/>
  <c r="C32" i="5"/>
  <c r="K31" i="5"/>
  <c r="J31" i="5"/>
  <c r="I31" i="5"/>
  <c r="H31" i="5"/>
  <c r="G31" i="5"/>
  <c r="F31" i="5"/>
  <c r="E31" i="5"/>
  <c r="D31" i="5"/>
  <c r="C31" i="5"/>
  <c r="K30" i="5"/>
  <c r="J30" i="5"/>
  <c r="I30" i="5"/>
  <c r="H30" i="5"/>
  <c r="G30" i="5"/>
  <c r="F30" i="5"/>
  <c r="E30" i="5"/>
  <c r="D30" i="5"/>
  <c r="C30" i="5"/>
  <c r="K29" i="5"/>
  <c r="J29" i="5"/>
  <c r="I29" i="5"/>
  <c r="H29" i="5"/>
  <c r="G29" i="5"/>
  <c r="F29" i="5"/>
  <c r="E29" i="5"/>
  <c r="D29" i="5"/>
  <c r="C29" i="5"/>
  <c r="K28" i="5"/>
  <c r="J28" i="5"/>
  <c r="I28" i="5"/>
  <c r="H28" i="5"/>
  <c r="G28" i="5"/>
  <c r="F28" i="5"/>
  <c r="E28" i="5"/>
  <c r="D28" i="5"/>
  <c r="C28" i="5"/>
  <c r="K27" i="5"/>
  <c r="J27" i="5"/>
  <c r="I27" i="5"/>
  <c r="H27" i="5"/>
  <c r="G27" i="5"/>
  <c r="F27" i="5"/>
  <c r="E27" i="5"/>
  <c r="D27" i="5"/>
  <c r="C27" i="5"/>
  <c r="K26" i="5"/>
  <c r="J26" i="5"/>
  <c r="I26" i="5"/>
  <c r="H26" i="5"/>
  <c r="G26" i="5"/>
  <c r="F26" i="5"/>
  <c r="E26" i="5"/>
  <c r="D26" i="5"/>
  <c r="C26" i="5"/>
  <c r="K25" i="5"/>
  <c r="J25" i="5"/>
  <c r="I25" i="5"/>
  <c r="H25" i="5"/>
  <c r="G25" i="5"/>
  <c r="F25" i="5"/>
  <c r="E25" i="5"/>
  <c r="D25" i="5"/>
  <c r="C25" i="5"/>
  <c r="K24" i="5"/>
  <c r="J24" i="5"/>
  <c r="I24" i="5"/>
  <c r="H24" i="5"/>
  <c r="G24" i="5"/>
  <c r="F24" i="5"/>
  <c r="E24" i="5"/>
  <c r="D24" i="5"/>
  <c r="C24" i="5"/>
  <c r="K23" i="5"/>
  <c r="J23" i="5"/>
  <c r="I23" i="5"/>
  <c r="H23" i="5"/>
  <c r="G23" i="5"/>
  <c r="F23" i="5"/>
  <c r="E23" i="5"/>
  <c r="D23" i="5"/>
  <c r="C23" i="5"/>
  <c r="K22" i="5"/>
  <c r="J22" i="5"/>
  <c r="I22" i="5"/>
  <c r="H22" i="5"/>
  <c r="G22" i="5"/>
  <c r="F22" i="5"/>
  <c r="E22" i="5"/>
  <c r="D22" i="5"/>
  <c r="C22" i="5"/>
  <c r="K21" i="5"/>
  <c r="J21" i="5"/>
  <c r="I21" i="5"/>
  <c r="H21" i="5"/>
  <c r="G21" i="5"/>
  <c r="F21" i="5"/>
  <c r="E21" i="5"/>
  <c r="D21" i="5"/>
  <c r="C21" i="5"/>
  <c r="K20" i="5"/>
  <c r="J20" i="5"/>
  <c r="I20" i="5"/>
  <c r="H20" i="5"/>
  <c r="G20" i="5"/>
  <c r="F20" i="5"/>
  <c r="E20" i="5"/>
  <c r="D20" i="5"/>
  <c r="C20" i="5"/>
  <c r="K19" i="5"/>
  <c r="J19" i="5"/>
  <c r="I19" i="5"/>
  <c r="H19" i="5"/>
  <c r="G19" i="5"/>
  <c r="F19" i="5"/>
  <c r="E19" i="5"/>
  <c r="D19" i="5"/>
  <c r="C19" i="5"/>
  <c r="K18" i="5"/>
  <c r="J18" i="5"/>
  <c r="I18" i="5"/>
  <c r="H18" i="5"/>
  <c r="G18" i="5"/>
  <c r="F18" i="5"/>
  <c r="E18" i="5"/>
  <c r="D18" i="5"/>
  <c r="C18" i="5"/>
  <c r="K17" i="5"/>
  <c r="J17" i="5"/>
  <c r="I17" i="5"/>
  <c r="H17" i="5"/>
  <c r="G17" i="5"/>
  <c r="F17" i="5"/>
  <c r="E17" i="5"/>
  <c r="D17" i="5"/>
  <c r="C17" i="5"/>
  <c r="K16" i="5"/>
  <c r="J16" i="5"/>
  <c r="I16" i="5"/>
  <c r="H16" i="5"/>
  <c r="G16" i="5"/>
  <c r="F16" i="5"/>
  <c r="E16" i="5"/>
  <c r="D16" i="5"/>
  <c r="C16" i="5"/>
  <c r="K15" i="5"/>
  <c r="J15" i="5"/>
  <c r="I15" i="5"/>
  <c r="H15" i="5"/>
  <c r="G15" i="5"/>
  <c r="F15" i="5"/>
  <c r="E15" i="5"/>
  <c r="D15" i="5"/>
  <c r="C15" i="5"/>
  <c r="K14" i="5"/>
  <c r="J14" i="5"/>
  <c r="I14" i="5"/>
  <c r="H14" i="5"/>
  <c r="G14" i="5"/>
  <c r="F14" i="5"/>
  <c r="E14" i="5"/>
  <c r="D14" i="5"/>
  <c r="C14" i="5"/>
  <c r="K13" i="5"/>
  <c r="J13" i="5"/>
  <c r="I13" i="5"/>
  <c r="H13" i="5"/>
  <c r="G13" i="5"/>
  <c r="F13" i="5"/>
  <c r="E13" i="5"/>
  <c r="D13" i="5"/>
  <c r="C13" i="5"/>
  <c r="K12" i="5"/>
  <c r="J12" i="5"/>
  <c r="I12" i="5"/>
  <c r="H12" i="5"/>
  <c r="G12" i="5"/>
  <c r="F12" i="5"/>
  <c r="E12" i="5"/>
  <c r="D12" i="5"/>
  <c r="C12" i="5"/>
  <c r="K11" i="5"/>
  <c r="J11" i="5"/>
  <c r="I11" i="5"/>
  <c r="H11" i="5"/>
  <c r="G11" i="5"/>
  <c r="F11" i="5"/>
  <c r="E11" i="5"/>
  <c r="C11" i="5"/>
  <c r="K10" i="5"/>
  <c r="J10" i="5"/>
  <c r="I10" i="5"/>
  <c r="H10" i="5"/>
  <c r="G10" i="5"/>
  <c r="F10" i="5"/>
  <c r="E10" i="5"/>
  <c r="D10" i="5"/>
  <c r="C10" i="5"/>
  <c r="K9" i="5"/>
  <c r="J9" i="5"/>
  <c r="I9" i="5"/>
  <c r="H9" i="5"/>
  <c r="G9" i="5"/>
  <c r="F9" i="5"/>
  <c r="E9" i="5"/>
  <c r="D9" i="5"/>
  <c r="C9" i="5"/>
  <c r="K8" i="5"/>
  <c r="J8" i="5"/>
  <c r="I8" i="5"/>
  <c r="H8" i="5"/>
  <c r="G8" i="5"/>
  <c r="F8" i="5"/>
  <c r="E8" i="5"/>
  <c r="D8" i="5"/>
  <c r="C8" i="5"/>
  <c r="D7" i="5"/>
  <c r="C7" i="5"/>
  <c r="D6" i="5"/>
  <c r="C6" i="5"/>
  <c r="K5" i="5"/>
  <c r="J5" i="5"/>
  <c r="I5" i="5"/>
  <c r="H5" i="5"/>
  <c r="G5" i="5"/>
  <c r="F5" i="5"/>
  <c r="E5" i="5"/>
  <c r="D5" i="5"/>
  <c r="C5" i="5"/>
  <c r="K4" i="5"/>
  <c r="J4" i="5"/>
  <c r="I4" i="5"/>
  <c r="H4" i="5"/>
  <c r="G4" i="5"/>
  <c r="F4" i="5"/>
  <c r="E4" i="5"/>
  <c r="D4" i="5"/>
  <c r="C4" i="5"/>
  <c r="K3" i="5"/>
  <c r="J3" i="5"/>
  <c r="I3" i="5"/>
  <c r="H3" i="5"/>
  <c r="G3" i="5"/>
  <c r="F3" i="5"/>
  <c r="E3" i="5"/>
  <c r="D3" i="5"/>
  <c r="C3" i="5"/>
  <c r="K2" i="5"/>
  <c r="H2" i="5"/>
  <c r="G2" i="5"/>
  <c r="D2" i="5"/>
  <c r="C2" i="5"/>
  <c r="P101" i="5"/>
  <c r="O101" i="5"/>
  <c r="N101" i="5"/>
  <c r="M101" i="5"/>
  <c r="L101" i="5"/>
  <c r="P100" i="5"/>
  <c r="O100" i="5"/>
  <c r="N100" i="5"/>
  <c r="M100" i="5"/>
  <c r="L100" i="5"/>
  <c r="P99" i="5"/>
  <c r="O99" i="5"/>
  <c r="N99" i="5"/>
  <c r="M99" i="5"/>
  <c r="L99" i="5"/>
  <c r="P98" i="5"/>
  <c r="O98" i="5"/>
  <c r="N98" i="5"/>
  <c r="M98" i="5"/>
  <c r="L98" i="5"/>
  <c r="P97" i="5"/>
  <c r="O97" i="5"/>
  <c r="N97" i="5"/>
  <c r="M97" i="5"/>
  <c r="L97" i="5"/>
  <c r="P96" i="5"/>
  <c r="O96" i="5"/>
  <c r="N96" i="5"/>
  <c r="M96" i="5"/>
  <c r="L96" i="5"/>
  <c r="P95" i="5"/>
  <c r="O95" i="5"/>
  <c r="N95" i="5"/>
  <c r="M95" i="5"/>
  <c r="L95" i="5"/>
  <c r="P94" i="5"/>
  <c r="O94" i="5"/>
  <c r="N94" i="5"/>
  <c r="M94" i="5"/>
  <c r="L94" i="5"/>
  <c r="P93" i="5"/>
  <c r="O93" i="5"/>
  <c r="N93" i="5"/>
  <c r="M93" i="5"/>
  <c r="L93" i="5"/>
  <c r="P92" i="5"/>
  <c r="O92" i="5"/>
  <c r="N92" i="5"/>
  <c r="M92" i="5"/>
  <c r="L92" i="5"/>
  <c r="P91" i="5"/>
  <c r="O91" i="5"/>
  <c r="N91" i="5"/>
  <c r="M91" i="5"/>
  <c r="L91" i="5"/>
  <c r="P90" i="5"/>
  <c r="O90" i="5"/>
  <c r="N90" i="5"/>
  <c r="M90" i="5"/>
  <c r="L90" i="5"/>
  <c r="P89" i="5"/>
  <c r="O89" i="5"/>
  <c r="N89" i="5"/>
  <c r="M89" i="5"/>
  <c r="L89" i="5"/>
  <c r="P88" i="5"/>
  <c r="O88" i="5"/>
  <c r="N88" i="5"/>
  <c r="M88" i="5"/>
  <c r="L88" i="5"/>
  <c r="P87" i="5"/>
  <c r="O87" i="5"/>
  <c r="N87" i="5"/>
  <c r="M87" i="5"/>
  <c r="L87" i="5"/>
  <c r="P86" i="5"/>
  <c r="O86" i="5"/>
  <c r="N86" i="5"/>
  <c r="M86" i="5"/>
  <c r="L86" i="5"/>
  <c r="P85" i="5"/>
  <c r="O85" i="5"/>
  <c r="N85" i="5"/>
  <c r="M85" i="5"/>
  <c r="L85" i="5"/>
  <c r="P84" i="5"/>
  <c r="O84" i="5"/>
  <c r="N84" i="5"/>
  <c r="M84" i="5"/>
  <c r="L84" i="5"/>
  <c r="P83" i="5"/>
  <c r="O83" i="5"/>
  <c r="N83" i="5"/>
  <c r="M83" i="5"/>
  <c r="L83" i="5"/>
  <c r="P82" i="5"/>
  <c r="O82" i="5"/>
  <c r="N82" i="5"/>
  <c r="M82" i="5"/>
  <c r="L82" i="5"/>
  <c r="P81" i="5"/>
  <c r="O81" i="5"/>
  <c r="N81" i="5"/>
  <c r="M81" i="5"/>
  <c r="L81" i="5"/>
  <c r="P80" i="5"/>
  <c r="O80" i="5"/>
  <c r="N80" i="5"/>
  <c r="M80" i="5"/>
  <c r="L80" i="5"/>
  <c r="P79" i="5"/>
  <c r="O79" i="5"/>
  <c r="N79" i="5"/>
  <c r="M79" i="5"/>
  <c r="L79" i="5"/>
  <c r="P78" i="5"/>
  <c r="O78" i="5"/>
  <c r="N78" i="5"/>
  <c r="M78" i="5"/>
  <c r="L78" i="5"/>
  <c r="P77" i="5"/>
  <c r="O77" i="5"/>
  <c r="N77" i="5"/>
  <c r="M77" i="5"/>
  <c r="L77" i="5"/>
  <c r="P76" i="5"/>
  <c r="O76" i="5"/>
  <c r="N76" i="5"/>
  <c r="M76" i="5"/>
  <c r="L76" i="5"/>
  <c r="P75" i="5"/>
  <c r="O75" i="5"/>
  <c r="N75" i="5"/>
  <c r="M75" i="5"/>
  <c r="L75" i="5"/>
  <c r="P74" i="5"/>
  <c r="O74" i="5"/>
  <c r="N74" i="5"/>
  <c r="M74" i="5"/>
  <c r="L74" i="5"/>
  <c r="P73" i="5"/>
  <c r="O73" i="5"/>
  <c r="N73" i="5"/>
  <c r="M73" i="5"/>
  <c r="L73" i="5"/>
  <c r="P72" i="5"/>
  <c r="O72" i="5"/>
  <c r="N72" i="5"/>
  <c r="M72" i="5"/>
  <c r="L72" i="5"/>
  <c r="P71" i="5"/>
  <c r="O71" i="5"/>
  <c r="N71" i="5"/>
  <c r="M71" i="5"/>
  <c r="L71" i="5"/>
  <c r="P70" i="5"/>
  <c r="O70" i="5"/>
  <c r="N70" i="5"/>
  <c r="M70" i="5"/>
  <c r="L70" i="5"/>
  <c r="P69" i="5"/>
  <c r="O69" i="5"/>
  <c r="N69" i="5"/>
  <c r="M69" i="5"/>
  <c r="L69" i="5"/>
  <c r="P68" i="5"/>
  <c r="O68" i="5"/>
  <c r="N68" i="5"/>
  <c r="M68" i="5"/>
  <c r="L68" i="5"/>
  <c r="P67" i="5"/>
  <c r="O67" i="5"/>
  <c r="N67" i="5"/>
  <c r="M67" i="5"/>
  <c r="L67" i="5"/>
  <c r="P66" i="5"/>
  <c r="O66" i="5"/>
  <c r="N66" i="5"/>
  <c r="M66" i="5"/>
  <c r="L66" i="5"/>
  <c r="P65" i="5"/>
  <c r="O65" i="5"/>
  <c r="N65" i="5"/>
  <c r="M65" i="5"/>
  <c r="L65" i="5"/>
  <c r="P64" i="5"/>
  <c r="O64" i="5"/>
  <c r="N64" i="5"/>
  <c r="M64" i="5"/>
  <c r="L64" i="5"/>
  <c r="P63" i="5"/>
  <c r="O63" i="5"/>
  <c r="N63" i="5"/>
  <c r="M63" i="5"/>
  <c r="L63" i="5"/>
  <c r="P62" i="5"/>
  <c r="O62" i="5"/>
  <c r="N62" i="5"/>
  <c r="M62" i="5"/>
  <c r="L62" i="5"/>
  <c r="P61" i="5"/>
  <c r="O61" i="5"/>
  <c r="N61" i="5"/>
  <c r="M61" i="5"/>
  <c r="L61" i="5"/>
  <c r="P60" i="5"/>
  <c r="O60" i="5"/>
  <c r="N60" i="5"/>
  <c r="M60" i="5"/>
  <c r="L60" i="5"/>
  <c r="P59" i="5"/>
  <c r="O59" i="5"/>
  <c r="N59" i="5"/>
  <c r="M59" i="5"/>
  <c r="L59" i="5"/>
  <c r="P58" i="5"/>
  <c r="O58" i="5"/>
  <c r="N58" i="5"/>
  <c r="M58" i="5"/>
  <c r="L58" i="5"/>
  <c r="P57" i="5"/>
  <c r="O57" i="5"/>
  <c r="N57" i="5"/>
  <c r="M57" i="5"/>
  <c r="L57" i="5"/>
  <c r="P56" i="5"/>
  <c r="O56" i="5"/>
  <c r="N56" i="5"/>
  <c r="M56" i="5"/>
  <c r="L56" i="5"/>
  <c r="P55" i="5"/>
  <c r="O55" i="5"/>
  <c r="N55" i="5"/>
  <c r="M55" i="5"/>
  <c r="L55" i="5"/>
  <c r="P54" i="5"/>
  <c r="O54" i="5"/>
  <c r="N54" i="5"/>
  <c r="M54" i="5"/>
  <c r="L54" i="5"/>
  <c r="P53" i="5"/>
  <c r="O53" i="5"/>
  <c r="N53" i="5"/>
  <c r="M53" i="5"/>
  <c r="L53" i="5"/>
  <c r="P52" i="5"/>
  <c r="O52" i="5"/>
  <c r="N52" i="5"/>
  <c r="M52" i="5"/>
  <c r="L52" i="5"/>
  <c r="P51" i="5"/>
  <c r="O51" i="5"/>
  <c r="N51" i="5"/>
  <c r="M51" i="5"/>
  <c r="L51" i="5"/>
  <c r="P50" i="5"/>
  <c r="O50" i="5"/>
  <c r="N50" i="5"/>
  <c r="M50" i="5"/>
  <c r="L50" i="5"/>
  <c r="P49" i="5"/>
  <c r="O49" i="5"/>
  <c r="N49" i="5"/>
  <c r="M49" i="5"/>
  <c r="L49" i="5"/>
  <c r="P48" i="5"/>
  <c r="O48" i="5"/>
  <c r="N48" i="5"/>
  <c r="M48" i="5"/>
  <c r="L48" i="5"/>
  <c r="P47" i="5"/>
  <c r="O47" i="5"/>
  <c r="N47" i="5"/>
  <c r="M47" i="5"/>
  <c r="L47" i="5"/>
  <c r="P46" i="5"/>
  <c r="O46" i="5"/>
  <c r="N46" i="5"/>
  <c r="M46" i="5"/>
  <c r="L46" i="5"/>
  <c r="P45" i="5"/>
  <c r="O45" i="5"/>
  <c r="N45" i="5"/>
  <c r="M45" i="5"/>
  <c r="L45" i="5"/>
  <c r="P44" i="5"/>
  <c r="O44" i="5"/>
  <c r="N44" i="5"/>
  <c r="M44" i="5"/>
  <c r="L44" i="5"/>
  <c r="P43" i="5"/>
  <c r="O43" i="5"/>
  <c r="N43" i="5"/>
  <c r="M43" i="5"/>
  <c r="L43" i="5"/>
  <c r="P42" i="5"/>
  <c r="O42" i="5"/>
  <c r="N42" i="5"/>
  <c r="M42" i="5"/>
  <c r="L42" i="5"/>
  <c r="P41" i="5"/>
  <c r="O41" i="5"/>
  <c r="N41" i="5"/>
  <c r="M41" i="5"/>
  <c r="L41" i="5"/>
  <c r="P40" i="5"/>
  <c r="O40" i="5"/>
  <c r="N40" i="5"/>
  <c r="M40" i="5"/>
  <c r="L40" i="5"/>
  <c r="P39" i="5"/>
  <c r="O39" i="5"/>
  <c r="N39" i="5"/>
  <c r="M39" i="5"/>
  <c r="L39" i="5"/>
  <c r="P38" i="5"/>
  <c r="O38" i="5"/>
  <c r="N38" i="5"/>
  <c r="M38" i="5"/>
  <c r="L38" i="5"/>
  <c r="P37" i="5"/>
  <c r="O37" i="5"/>
  <c r="N37" i="5"/>
  <c r="M37" i="5"/>
  <c r="L37" i="5"/>
  <c r="P36" i="5"/>
  <c r="O36" i="5"/>
  <c r="N36" i="5"/>
  <c r="M36" i="5"/>
  <c r="L36" i="5"/>
  <c r="P35" i="5"/>
  <c r="O35" i="5"/>
  <c r="N35" i="5"/>
  <c r="M35" i="5"/>
  <c r="L35" i="5"/>
  <c r="P34" i="5"/>
  <c r="O34" i="5"/>
  <c r="N34" i="5"/>
  <c r="M34" i="5"/>
  <c r="L34" i="5"/>
  <c r="P33" i="5"/>
  <c r="O33" i="5"/>
  <c r="N33" i="5"/>
  <c r="M33" i="5"/>
  <c r="L33" i="5"/>
  <c r="P32" i="5"/>
  <c r="O32" i="5"/>
  <c r="N32" i="5"/>
  <c r="M32" i="5"/>
  <c r="L32" i="5"/>
  <c r="P31" i="5"/>
  <c r="O31" i="5"/>
  <c r="N31" i="5"/>
  <c r="M31" i="5"/>
  <c r="L31" i="5"/>
  <c r="P30" i="5"/>
  <c r="O30" i="5"/>
  <c r="N30" i="5"/>
  <c r="M30" i="5"/>
  <c r="L30" i="5"/>
  <c r="P29" i="5"/>
  <c r="O29" i="5"/>
  <c r="N29" i="5"/>
  <c r="M29" i="5"/>
  <c r="L29" i="5"/>
  <c r="P28" i="5"/>
  <c r="O28" i="5"/>
  <c r="N28" i="5"/>
  <c r="M28" i="5"/>
  <c r="L28" i="5"/>
  <c r="P27" i="5"/>
  <c r="O27" i="5"/>
  <c r="N27" i="5"/>
  <c r="M27" i="5"/>
  <c r="L27" i="5"/>
  <c r="P26" i="5"/>
  <c r="O26" i="5"/>
  <c r="N26" i="5"/>
  <c r="M26" i="5"/>
  <c r="L26" i="5"/>
  <c r="P25" i="5"/>
  <c r="O25" i="5"/>
  <c r="N25" i="5"/>
  <c r="M25" i="5"/>
  <c r="L25" i="5"/>
  <c r="P24" i="5"/>
  <c r="O24" i="5"/>
  <c r="N24" i="5"/>
  <c r="M24" i="5"/>
  <c r="L24" i="5"/>
  <c r="P23" i="5"/>
  <c r="O23" i="5"/>
  <c r="N23" i="5"/>
  <c r="M23" i="5"/>
  <c r="L23" i="5"/>
  <c r="P22" i="5"/>
  <c r="O22" i="5"/>
  <c r="N22" i="5"/>
  <c r="M22" i="5"/>
  <c r="L22" i="5"/>
  <c r="P21" i="5"/>
  <c r="O21" i="5"/>
  <c r="N21" i="5"/>
  <c r="M21" i="5"/>
  <c r="L21" i="5"/>
  <c r="P20" i="5"/>
  <c r="O20" i="5"/>
  <c r="N20" i="5"/>
  <c r="M20" i="5"/>
  <c r="L20" i="5"/>
  <c r="P19" i="5"/>
  <c r="O19" i="5"/>
  <c r="N19" i="5"/>
  <c r="M19" i="5"/>
  <c r="L19" i="5"/>
  <c r="P18" i="5"/>
  <c r="O18" i="5"/>
  <c r="N18" i="5"/>
  <c r="M18" i="5"/>
  <c r="L18" i="5"/>
  <c r="P17" i="5"/>
  <c r="O17" i="5"/>
  <c r="N17" i="5"/>
  <c r="M17" i="5"/>
  <c r="L17" i="5"/>
  <c r="P16" i="5"/>
  <c r="O16" i="5"/>
  <c r="N16" i="5"/>
  <c r="M16" i="5"/>
  <c r="L16" i="5"/>
  <c r="P15" i="5"/>
  <c r="O15" i="5"/>
  <c r="N15" i="5"/>
  <c r="M15" i="5"/>
  <c r="L15" i="5"/>
  <c r="P14" i="5"/>
  <c r="O14" i="5"/>
  <c r="N14" i="5"/>
  <c r="M14" i="5"/>
  <c r="L14" i="5"/>
  <c r="P13" i="5"/>
  <c r="O13" i="5"/>
  <c r="N13" i="5"/>
  <c r="M13" i="5"/>
  <c r="L13" i="5"/>
  <c r="P12" i="5"/>
  <c r="O12" i="5"/>
  <c r="N12" i="5"/>
  <c r="M12" i="5"/>
  <c r="L12" i="5"/>
  <c r="P11" i="5"/>
  <c r="O11" i="5"/>
  <c r="N11" i="5"/>
  <c r="M11" i="5"/>
  <c r="L11" i="5"/>
  <c r="P10" i="5"/>
  <c r="O10" i="5"/>
  <c r="N10" i="5"/>
  <c r="M10" i="5"/>
  <c r="L10" i="5"/>
  <c r="P9" i="5"/>
  <c r="O9" i="5"/>
  <c r="N9" i="5"/>
  <c r="M9" i="5"/>
  <c r="L9" i="5"/>
  <c r="P8" i="5"/>
  <c r="O8" i="5"/>
  <c r="N8" i="5"/>
  <c r="M8" i="5"/>
  <c r="L8" i="5"/>
  <c r="P7" i="5"/>
  <c r="O7" i="5"/>
  <c r="N7" i="5"/>
  <c r="M7" i="5"/>
  <c r="L7" i="5"/>
  <c r="P6" i="5"/>
  <c r="O6" i="5"/>
  <c r="N6" i="5"/>
  <c r="M6" i="5"/>
  <c r="L6" i="5"/>
  <c r="P5" i="5"/>
  <c r="O5" i="5"/>
  <c r="N5" i="5"/>
  <c r="M5" i="5"/>
  <c r="L5" i="5"/>
  <c r="P4" i="5"/>
  <c r="O4" i="5"/>
  <c r="N4" i="5"/>
  <c r="M4" i="5"/>
  <c r="L4" i="5"/>
  <c r="P3" i="5"/>
  <c r="O3" i="5"/>
  <c r="N3" i="5"/>
  <c r="M3" i="5"/>
  <c r="L3" i="5"/>
  <c r="P2" i="5"/>
  <c r="O2" i="5"/>
  <c r="N2" i="5"/>
  <c r="M2" i="5"/>
  <c r="L2" i="5"/>
  <c r="P101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C101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P99" i="2"/>
  <c r="O99" i="2"/>
  <c r="N99" i="2"/>
  <c r="M99" i="2"/>
  <c r="L99" i="2"/>
  <c r="K99" i="2"/>
  <c r="J99" i="2"/>
  <c r="I99" i="2"/>
  <c r="H99" i="2"/>
  <c r="G99" i="2"/>
  <c r="F99" i="2"/>
  <c r="E99" i="2"/>
  <c r="D99" i="2"/>
  <c r="C99" i="2"/>
  <c r="P98" i="2"/>
  <c r="O98" i="2"/>
  <c r="N98" i="2"/>
  <c r="M98" i="2"/>
  <c r="L98" i="2"/>
  <c r="K98" i="2"/>
  <c r="J98" i="2"/>
  <c r="I98" i="2"/>
  <c r="H98" i="2"/>
  <c r="G98" i="2"/>
  <c r="F98" i="2"/>
  <c r="E98" i="2"/>
  <c r="D98" i="2"/>
  <c r="C98" i="2"/>
  <c r="P97" i="2"/>
  <c r="O97" i="2"/>
  <c r="N97" i="2"/>
  <c r="M97" i="2"/>
  <c r="L97" i="2"/>
  <c r="K97" i="2"/>
  <c r="J97" i="2"/>
  <c r="I97" i="2"/>
  <c r="H97" i="2"/>
  <c r="G97" i="2"/>
  <c r="F97" i="2"/>
  <c r="E97" i="2"/>
  <c r="D97" i="2"/>
  <c r="C97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P92" i="2"/>
  <c r="O92" i="2"/>
  <c r="N92" i="2"/>
  <c r="M92" i="2"/>
  <c r="L92" i="2"/>
  <c r="K92" i="2"/>
  <c r="J92" i="2"/>
  <c r="I92" i="2"/>
  <c r="H92" i="2"/>
  <c r="G92" i="2"/>
  <c r="F92" i="2"/>
  <c r="E92" i="2"/>
  <c r="D92" i="2"/>
  <c r="C92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P89" i="2"/>
  <c r="O89" i="2"/>
  <c r="N89" i="2"/>
  <c r="M89" i="2"/>
  <c r="L89" i="2"/>
  <c r="K89" i="2"/>
  <c r="J89" i="2"/>
  <c r="I89" i="2"/>
  <c r="H89" i="2"/>
  <c r="G89" i="2"/>
  <c r="F89" i="2"/>
  <c r="E89" i="2"/>
  <c r="D89" i="2"/>
  <c r="C89" i="2"/>
  <c r="P88" i="2"/>
  <c r="O88" i="2"/>
  <c r="N88" i="2"/>
  <c r="M88" i="2"/>
  <c r="L88" i="2"/>
  <c r="K88" i="2"/>
  <c r="J88" i="2"/>
  <c r="I88" i="2"/>
  <c r="H88" i="2"/>
  <c r="G88" i="2"/>
  <c r="F88" i="2"/>
  <c r="E88" i="2"/>
  <c r="D88" i="2"/>
  <c r="C88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C87" i="2"/>
  <c r="P86" i="2"/>
  <c r="O86" i="2"/>
  <c r="N86" i="2"/>
  <c r="M86" i="2"/>
  <c r="L86" i="2"/>
  <c r="K86" i="2"/>
  <c r="J86" i="2"/>
  <c r="I86" i="2"/>
  <c r="H86" i="2"/>
  <c r="G86" i="2"/>
  <c r="F86" i="2"/>
  <c r="E86" i="2"/>
  <c r="D86" i="2"/>
  <c r="C86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P83" i="2"/>
  <c r="O83" i="2"/>
  <c r="N83" i="2"/>
  <c r="M83" i="2"/>
  <c r="L83" i="2"/>
  <c r="K83" i="2"/>
  <c r="J83" i="2"/>
  <c r="I83" i="2"/>
  <c r="H83" i="2"/>
  <c r="G83" i="2"/>
  <c r="F83" i="2"/>
  <c r="E83" i="2"/>
  <c r="D83" i="2"/>
  <c r="C83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P80" i="2"/>
  <c r="O80" i="2"/>
  <c r="N80" i="2"/>
  <c r="M80" i="2"/>
  <c r="L80" i="2"/>
  <c r="K80" i="2"/>
  <c r="J80" i="2"/>
  <c r="I80" i="2"/>
  <c r="H80" i="2"/>
  <c r="G80" i="2"/>
  <c r="F80" i="2"/>
  <c r="E80" i="2"/>
  <c r="D80" i="2"/>
  <c r="C80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75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69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66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65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C64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63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60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57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56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P10" i="2"/>
  <c r="O10" i="2"/>
  <c r="N10" i="2"/>
  <c r="M10" i="2"/>
  <c r="L10" i="2"/>
  <c r="K10" i="2"/>
  <c r="J10" i="2"/>
  <c r="I10" i="2"/>
  <c r="H10" i="2"/>
  <c r="G10" i="2"/>
  <c r="F10" i="2"/>
  <c r="D10" i="2"/>
  <c r="C10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</calcChain>
</file>

<file path=xl/sharedStrings.xml><?xml version="1.0" encoding="utf-8"?>
<sst xmlns="http://schemas.openxmlformats.org/spreadsheetml/2006/main" count="2597" uniqueCount="134">
  <si>
    <t>id</t>
  </si>
  <si>
    <t>type</t>
  </si>
  <si>
    <t>ru</t>
  </si>
  <si>
    <t>ua</t>
  </si>
  <si>
    <t>imageRU</t>
  </si>
  <si>
    <t>imageUA</t>
  </si>
  <si>
    <t>titleRU</t>
  </si>
  <si>
    <t>titleUA</t>
  </si>
  <si>
    <t>descriptionRU</t>
  </si>
  <si>
    <t>descriptionUA</t>
  </si>
  <si>
    <t>href</t>
  </si>
  <si>
    <t>imageWidth</t>
  </si>
  <si>
    <t>imageHeight</t>
  </si>
  <si>
    <t>imageAspectRatio</t>
  </si>
  <si>
    <t>imageResizeMode</t>
  </si>
  <si>
    <t>heroImage</t>
  </si>
  <si>
    <t>images/hero.jpg</t>
  </si>
  <si>
    <t>Большой баннер вверху (100% ширина)</t>
  </si>
  <si>
    <t>Великий банер зверху (100% ширина)</t>
  </si>
  <si>
    <t>eyebrow</t>
  </si>
  <si>
    <t>Beauty Academy</t>
  </si>
  <si>
    <t>title</t>
  </si>
  <si>
    <t>Master the Art of Beauty</t>
  </si>
  <si>
    <t>Оволодій мистецтвом краси</t>
  </si>
  <si>
    <t>subtitle</t>
  </si>
  <si>
    <t>Основные направления обучения</t>
  </si>
  <si>
    <t>Основні напрями навчання</t>
  </si>
  <si>
    <t>text</t>
  </si>
  <si>
    <t>Добро пожаловать на наш интерактивный курс</t>
  </si>
  <si>
    <t>Ласкаво просимо на наш інтерактивний курс</t>
  </si>
  <si>
    <t>squareImage</t>
  </si>
  <si>
    <t>images/example_ru.jpg</t>
  </si>
  <si>
    <t>images/example_ua.jpg</t>
  </si>
  <si>
    <t>↑ Квадратное изображение (300×300px, по центру)</t>
  </si>
  <si>
    <t>↑ Квадратне зображення (300×300px, по центру)</t>
  </si>
  <si>
    <t>contain</t>
  </si>
  <si>
    <t>card</t>
  </si>
  <si>
    <t>images/card_ru.jpg</t>
  </si>
  <si>
    <t>images/card_ua.jpg</t>
  </si>
  <si>
    <t>Обычная карточка</t>
  </si>
  <si>
    <t>Звичайна картка</t>
  </si>
  <si>
    <t>Описание — используется для ссылок на другие страницы</t>
  </si>
  <si>
    <t>Опис — використовується для посилань на інші сторінки</t>
  </si>
  <si>
    <t>/other-page</t>
  </si>
  <si>
    <t>cardBig</t>
  </si>
  <si>
    <t>images/lesson_big.jpg</t>
  </si>
  <si>
    <t>Большая карточка (CardBig)</t>
  </si>
  <si>
    <t>Велика картка (CardBig)</t>
  </si>
  <si>
    <t>Размер: 280px ширина, большой акцент</t>
  </si>
  <si>
    <t>Розмір: 280px ширина, більший акцент</t>
  </si>
  <si>
    <t>/lesson</t>
  </si>
  <si>
    <t>cardSmall</t>
  </si>
  <si>
    <t>images/test1.jpg</t>
  </si>
  <si>
    <t>Малая карточка</t>
  </si>
  <si>
    <t>Мала картка</t>
  </si>
  <si>
    <t>Размер: 160px, для списков</t>
  </si>
  <si>
    <t>Розмір: 160px, для списків</t>
  </si>
  <si>
    <t>/test</t>
  </si>
  <si>
    <t>cardSmall2</t>
  </si>
  <si>
    <t>images/test2.jpg</t>
  </si>
  <si>
    <t>Малая карточка 2</t>
  </si>
  <si>
    <t>Мала картка 2</t>
  </si>
  <si>
    <t>Можно ставить несколько подряд</t>
  </si>
  <si>
    <t>Можна ставити кілька поспіль</t>
  </si>
  <si>
    <t>/test2</t>
  </si>
  <si>
    <t>languageSwitcher</t>
  </si>
  <si>
    <t>Переключатель языка (Укр/Рус)</t>
  </si>
  <si>
    <t>Перемикач мови (Укр/Рус)</t>
  </si>
  <si>
    <t>item</t>
  </si>
  <si>
    <t>Основные техники макияжа и подготовка кожи</t>
  </si>
  <si>
    <t>Основні техніки макіяжу та підготовка шкіри</t>
  </si>
  <si>
    <t>textLink</t>
  </si>
  <si>
    <t>Узнать больше о программе обучения →</t>
  </si>
  <si>
    <t>Дізнатися більше про програму навчання →</t>
  </si>
  <si>
    <t>/learn-more</t>
  </si>
  <si>
    <t>videoContainer</t>
  </si>
  <si>
    <t>https://www.youtube.com/embed/dQ</t>
  </si>
  <si>
    <t>Видеоэлемент (указать URL видео на YouTube)</t>
  </si>
  <si>
    <t>Відеоелемент (вказати URL відео на YouTube)</t>
  </si>
  <si>
    <t>Кожа</t>
  </si>
  <si>
    <t>Шкіра</t>
  </si>
  <si>
    <t>Строение кожи</t>
  </si>
  <si>
    <t>/skin</t>
  </si>
  <si>
    <r>
      <t>Заживление пигмента в коже</t>
    </r>
    <r>
      <rPr>
        <b/>
        <sz val="11"/>
        <color rgb="FF000000"/>
        <rFont val="Arial"/>
        <family val="2"/>
      </rPr>
      <t> </t>
    </r>
  </si>
  <si>
    <t>/pigment</t>
  </si>
  <si>
    <t xml:space="preserve"> </t>
  </si>
  <si>
    <t xml:space="preserve">Строение кожи </t>
  </si>
  <si>
    <t>Будова шкіри</t>
  </si>
  <si>
    <t>image1_rus</t>
  </si>
  <si>
    <t>Кожа состоит из трёх слоёв: эпидермиса, дермы и подкожно-жировой клетчатки.</t>
  </si>
  <si>
    <t>Эпидермис</t>
  </si>
  <si>
    <t>Самый верхний слой кожи толщиной ~0,05–1 мм, который делится на несколько подслоёв.</t>
  </si>
  <si>
    <t>Роговой — самый верхний защитный слой,мертвые клетки</t>
  </si>
  <si>
    <t>Зернистый — формируется кератин</t>
  </si>
  <si>
    <t>Шиповатый — клетки соединяются между собой </t>
  </si>
  <si>
    <t>Базальный — там где образуются новые клетки кожи и находятся меланоциты ( пигмент кожи)</t>
  </si>
  <si>
    <t>Имплантация пигмента в Эпидермис не даст нужного результата, так как этот слой постоянно обновляется, в результате чего остатка после заживление не будет или будет минимальный на короткий период времени.</t>
  </si>
  <si>
    <t>Дерма</t>
  </si>
  <si>
    <t>Основной рабочий слой для перманентного макияжа толщиной ~1–4 мм, который делится на несколько слоёв.</t>
  </si>
  <si>
    <t>Сосочковый слой — верхняя часть, много капилляров.</t>
  </si>
  <si>
    <t>Сетчатый слой — плотные коллагеновые волокна. </t>
  </si>
  <si>
    <t>Здесь находятся:</t>
  </si>
  <si>
    <t>капилляры и мелкие кровеносные сосуды — питают эпидермис</t>
  </si>
  <si>
    <t>лимфатические сосуды;</t>
  </si>
  <si>
    <t>нервные окончания и рецепторы чувствительности (боль, температура, прикосновение);</t>
  </si>
  <si>
    <t>коллагеновые и эластиновые волокна;</t>
  </si>
  <si>
    <t>фибробласты — клетки, вырабатывающие коллаген и эластин;</t>
  </si>
  <si>
    <t>иммунные клетки ( фагоциты);-частично располагаются волосяные фолликулы и выводные протоки потовых желез.</t>
  </si>
  <si>
    <t>Для ПМ важно:</t>
  </si>
  <si>
    <t>Идеальная глубина внесения пигмента — верхняя дерма.</t>
  </si>
  <si>
    <t>Слишком глубоко → миграция пигмента, синеватый оттенок, рубцевание.</t>
  </si>
  <si>
    <t>Слишком травматичная работа повреждает коллаген и сосуды.</t>
  </si>
  <si>
    <t>Гиподерма (подкожно-жировая клетчатка)</t>
  </si>
  <si>
    <t>Самый глубокий слой. В ней находятся :</t>
  </si>
  <si>
    <t>Жировая ткань</t>
  </si>
  <si>
    <t>Крупные сосуды</t>
  </si>
  <si>
    <t>Нервы</t>
  </si>
  <si>
    <t>Функции:</t>
  </si>
  <si>
    <t>Теплоизоляция</t>
  </si>
  <si>
    <t>Амортизация</t>
  </si>
  <si>
    <t>Запас энергии</t>
  </si>
  <si>
    <t>При перманенте тут работать нельзя.</t>
  </si>
  <si>
    <t>Попадание слишком глубоко вызывает сильную травматизацию и плохое заживлениe.</t>
  </si>
  <si>
    <t/>
  </si>
  <si>
    <t>card1</t>
  </si>
  <si>
    <r>
      <t>Заживление пигмента в коже</t>
    </r>
    <r>
      <rPr>
        <b/>
        <sz val="11"/>
        <color rgb="FF000000"/>
        <rFont val="Arial"/>
        <family val="2"/>
      </rPr>
      <t xml:space="preserve"> </t>
    </r>
  </si>
  <si>
    <t>Во время процедуры игла вводит пигмент в верхние слои дермы — не слишком глубоко, но и не в эпидермис, иначе пигмент уйдёт вместе с шелушением кожи за 3–4 недели; во время проколов кожа воспринимает процедуру как микротравму.</t>
  </si>
  <si>
    <t>повреждаются мелкие сосуды,</t>
  </si>
  <si>
    <t>выделяется лимфа,</t>
  </si>
  <si>
    <t>запускается воспалительная реакция и заживление.</t>
  </si>
  <si>
    <t>ярче,</t>
  </si>
  <si>
    <t>плотнее,</t>
  </si>
  <si>
    <t>темнее.</t>
  </si>
  <si>
    <t>Сразу после процедуры цвет выглядит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</si>
</sst>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\-0;;@"/>
  </numFmts>
  <fonts count="4">
    <font>
      <sz val="11"/>
      <name val="Carlito"/>
    </font>
    <font>
      <b/>
      <sz val="11"/>
      <color rgb="FFFFFFFF"/>
      <name val="Carlito"/>
    </font>
    <font>
      <b/>
      <sz val="11"/>
      <color rgb="FFFFFFFF"/>
      <name val="Carlito"/>
    </font>
    <font>
      <b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0F766E"/>
      </patternFill>
    </fill>
  </fills>
  <borders count="8">
    <border>
      <left/>
      <right/>
      <top/>
      <bottom/>
      <diagonal/>
    </border>
    <border>
      <left style="thin">
        <color rgb="FFD1D5DB"/>
      </left>
      <right style="thin">
        <color rgb="FFE5E7EB"/>
      </right>
      <top style="thin">
        <color rgb="FFD1D5D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D1D5DB"/>
      </top>
      <bottom style="thin">
        <color rgb="FFE5E7EB"/>
      </bottom>
      <diagonal/>
    </border>
    <border>
      <left style="thin">
        <color rgb="FFE5E7EB"/>
      </left>
      <right style="thin">
        <color rgb="FFD1D5DB"/>
      </right>
      <top style="thin">
        <color rgb="FFD1D5D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D1D5D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D1D5DB"/>
      </bottom>
      <diagonal/>
    </border>
    <border>
      <left style="thin">
        <color rgb="FFE5E7EB"/>
      </left>
      <right style="thin">
        <color rgb="FFD1D5DB"/>
      </right>
      <top style="thin">
        <color rgb="FFE5E7EB"/>
      </top>
      <bottom style="thin">
        <color rgb="FFD1D5D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3" borderId="0" xfId="0" applyFont="1" applyFill="1"/>
    <xf numFmtId="164" fontId="2" fillId="3" borderId="0" xfId="0" applyNumberFormat="1" applyFont="1" applyFill="1"/>
    <xf numFmtId="164" fontId="0" fillId="0" borderId="0" xfId="0" applyNumberFormat="1"/>
    <xf numFmtId="164" fontId="1" fillId="3" borderId="2" xfId="0" applyNumberFormat="1" applyFont="1" applyFill="1" applyBorder="1" applyAlignment="1">
      <alignment horizontal="center" vertical="center"/>
    </xf>
    <xf numFmtId="164" fontId="1" fillId="3" borderId="3" xfId="0" applyNumberFormat="1" applyFont="1" applyFill="1" applyBorder="1" applyAlignment="1">
      <alignment horizontal="center" vertical="center"/>
    </xf>
    <xf numFmtId="164" fontId="0" fillId="0" borderId="4" xfId="0" applyNumberFormat="1" applyBorder="1"/>
    <xf numFmtId="164" fontId="0" fillId="0" borderId="5" xfId="0" applyNumberFormat="1" applyBorder="1"/>
    <xf numFmtId="164" fontId="0" fillId="0" borderId="6" xfId="0" applyNumberFormat="1" applyBorder="1"/>
    <xf numFmtId="164" fontId="0" fillId="0" borderId="7" xfId="0" applyNumberFormat="1" applyBorder="1"/>
  </cellXfs>
  <cellStyles count="1">
    <cellStyle name="Normal" xfId="0" builtinId="0"/>
  </cellStyles>
  <dxfs count="30"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4"/>
  <sheetViews>
    <sheetView workbookViewId="0">
      <selection activeCell="K22" sqref="K22"/>
    </sheetView>
  </sheetViews>
  <sheetFormatPr defaultRowHeight="14.25"/>
  <sheetData>
    <row r="1" spans="1:1">
      <c r="A1" t="s">
        <v>15</v>
      </c>
    </row>
    <row r="2" spans="1:1">
      <c r="A2" t="s">
        <v>19</v>
      </c>
    </row>
    <row r="3" spans="1:1">
      <c r="A3" t="s">
        <v>21</v>
      </c>
    </row>
    <row r="4" spans="1:1">
      <c r="A4" t="s">
        <v>24</v>
      </c>
    </row>
    <row r="5" spans="1:1">
      <c r="A5" t="s">
        <v>27</v>
      </c>
    </row>
    <row r="6" spans="1:1">
      <c r="A6" t="s">
        <v>30</v>
      </c>
    </row>
    <row r="7" spans="1:1">
      <c r="A7" t="s">
        <v>36</v>
      </c>
    </row>
    <row r="8" spans="1:1">
      <c r="A8" t="s">
        <v>44</v>
      </c>
    </row>
    <row r="9" spans="1:1">
      <c r="A9" t="s">
        <v>51</v>
      </c>
    </row>
    <row r="10" spans="1:1">
      <c r="A10" t="s">
        <v>58</v>
      </c>
    </row>
    <row r="11" spans="1:1">
      <c r="A11" t="s">
        <v>65</v>
      </c>
    </row>
    <row r="12" spans="1:1">
      <c r="A12" t="s">
        <v>68</v>
      </c>
    </row>
    <row r="13" spans="1:1">
      <c r="A13" t="s">
        <v>71</v>
      </c>
    </row>
    <row r="14" spans="1:1">
      <c r="A14" t="s">
        <v>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"/>
  <sheetViews>
    <sheetView zoomScale="25" zoomScaleNormal="25" workbookViewId="0">
      <selection activeCell="E37" sqref="E37"/>
    </sheetView>
  </sheetViews>
  <sheetFormatPr defaultColWidth="40" defaultRowHeight="14.25"/>
  <sheetData>
    <row r="1" spans="1:16" ht="1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/>
    </row>
    <row r="2" spans="1:16">
      <c r="B2" t="s">
        <v>15</v>
      </c>
      <c r="E2" t="s">
        <v>16</v>
      </c>
      <c r="F2" t="s">
        <v>16</v>
      </c>
      <c r="I2" t="s">
        <v>17</v>
      </c>
      <c r="J2" t="s">
        <v>18</v>
      </c>
    </row>
    <row r="3" spans="1:16">
      <c r="B3" t="s">
        <v>19</v>
      </c>
      <c r="C3" t="s">
        <v>20</v>
      </c>
      <c r="D3" t="s">
        <v>20</v>
      </c>
    </row>
    <row r="4" spans="1:16">
      <c r="B4" t="s">
        <v>21</v>
      </c>
      <c r="C4" t="s">
        <v>22</v>
      </c>
      <c r="D4" t="s">
        <v>23</v>
      </c>
    </row>
    <row r="5" spans="1:16">
      <c r="B5" t="s">
        <v>24</v>
      </c>
      <c r="C5" t="s">
        <v>25</v>
      </c>
      <c r="D5" t="s">
        <v>26</v>
      </c>
    </row>
    <row r="6" spans="1:16">
      <c r="B6" t="s">
        <v>27</v>
      </c>
      <c r="C6" t="s">
        <v>28</v>
      </c>
      <c r="D6" t="s">
        <v>29</v>
      </c>
    </row>
    <row r="7" spans="1:16">
      <c r="B7" t="s">
        <v>30</v>
      </c>
      <c r="E7" t="s">
        <v>31</v>
      </c>
      <c r="F7" t="s">
        <v>32</v>
      </c>
      <c r="I7" t="s">
        <v>33</v>
      </c>
      <c r="J7" t="s">
        <v>34</v>
      </c>
      <c r="L7">
        <v>300</v>
      </c>
      <c r="M7">
        <v>300</v>
      </c>
      <c r="N7">
        <v>1</v>
      </c>
      <c r="O7" t="s">
        <v>35</v>
      </c>
    </row>
    <row r="8" spans="1:16">
      <c r="B8" t="s">
        <v>36</v>
      </c>
      <c r="E8" t="s">
        <v>37</v>
      </c>
      <c r="F8" t="s">
        <v>38</v>
      </c>
      <c r="G8" t="s">
        <v>39</v>
      </c>
      <c r="H8" t="s">
        <v>40</v>
      </c>
      <c r="I8" t="s">
        <v>41</v>
      </c>
      <c r="J8" t="s">
        <v>42</v>
      </c>
      <c r="K8" t="s">
        <v>43</v>
      </c>
    </row>
    <row r="9" spans="1:16">
      <c r="B9" t="s">
        <v>44</v>
      </c>
      <c r="E9" t="s">
        <v>45</v>
      </c>
      <c r="F9" t="s">
        <v>45</v>
      </c>
      <c r="G9" t="s">
        <v>46</v>
      </c>
      <c r="H9" t="s">
        <v>47</v>
      </c>
      <c r="I9" t="s">
        <v>48</v>
      </c>
      <c r="J9" t="s">
        <v>49</v>
      </c>
      <c r="K9" t="s">
        <v>50</v>
      </c>
    </row>
    <row r="10" spans="1:16">
      <c r="B10" t="s">
        <v>51</v>
      </c>
      <c r="E10" t="s">
        <v>52</v>
      </c>
      <c r="F10" t="s">
        <v>52</v>
      </c>
      <c r="G10" t="s">
        <v>53</v>
      </c>
      <c r="H10" t="s">
        <v>54</v>
      </c>
      <c r="I10" t="s">
        <v>55</v>
      </c>
      <c r="J10" t="s">
        <v>56</v>
      </c>
      <c r="K10" t="s">
        <v>57</v>
      </c>
    </row>
    <row r="11" spans="1:16">
      <c r="B11" t="s">
        <v>58</v>
      </c>
      <c r="E11" t="s">
        <v>59</v>
      </c>
      <c r="F11" t="s">
        <v>59</v>
      </c>
      <c r="G11" t="s">
        <v>60</v>
      </c>
      <c r="H11" t="s">
        <v>61</v>
      </c>
      <c r="I11" t="s">
        <v>62</v>
      </c>
      <c r="J11" t="s">
        <v>63</v>
      </c>
      <c r="K11" t="s">
        <v>64</v>
      </c>
    </row>
    <row r="12" spans="1:16">
      <c r="B12" t="s">
        <v>65</v>
      </c>
      <c r="I12" t="s">
        <v>66</v>
      </c>
      <c r="J12" t="s">
        <v>67</v>
      </c>
    </row>
    <row r="13" spans="1:16">
      <c r="B13" t="s">
        <v>68</v>
      </c>
      <c r="I13" t="s">
        <v>69</v>
      </c>
      <c r="J13" t="s">
        <v>70</v>
      </c>
    </row>
    <row r="14" spans="1:16">
      <c r="B14" t="s">
        <v>71</v>
      </c>
      <c r="C14" t="s">
        <v>72</v>
      </c>
      <c r="D14" t="s">
        <v>73</v>
      </c>
      <c r="K14" t="s">
        <v>74</v>
      </c>
    </row>
    <row r="15" spans="1:16">
      <c r="B15" t="s">
        <v>75</v>
      </c>
      <c r="E15" t="s">
        <v>76</v>
      </c>
      <c r="F15" t="s">
        <v>76</v>
      </c>
      <c r="I15" t="s">
        <v>77</v>
      </c>
      <c r="J15" t="s">
        <v>78</v>
      </c>
    </row>
  </sheetData>
  <conditionalFormatting sqref="B1">
    <cfRule type="containsText" dxfId="29" priority="1" operator="containsText" text="image">
      <formula>NOT(ISERROR(SEARCH("image",B1)))</formula>
    </cfRule>
    <cfRule type="containsText" dxfId="28" priority="2" operator="containsText" text="subt">
      <formula>NOT(ISERROR(SEARCH("subt",B1)))</formula>
    </cfRule>
  </conditionalFormatting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01"/>
  <sheetViews>
    <sheetView workbookViewId="0">
      <pane ySplit="1" topLeftCell="A2" activePane="bottomLeft" state="frozen"/>
      <selection pane="bottomLeft" activeCell="E10" sqref="E10"/>
    </sheetView>
  </sheetViews>
  <sheetFormatPr defaultRowHeight="14.25"/>
  <cols>
    <col min="1" max="1" width="3.875" bestFit="1" customWidth="1"/>
    <col min="2" max="8" width="24" customWidth="1"/>
    <col min="9" max="10" width="40" customWidth="1"/>
    <col min="11" max="16" width="24" customWidth="1"/>
  </cols>
  <sheetData>
    <row r="1" spans="1:16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/>
    </row>
    <row r="2" spans="1:16">
      <c r="A2" s="6">
        <v>1</v>
      </c>
      <c r="B2" s="6"/>
      <c r="C2" s="6" t="str">
        <f>IF($B2="","",IFERROR(INDEX('Типы элементов'!$C:$C,MATCH($B2,'Типы элементов'!$B:$B,0)),""))</f>
        <v/>
      </c>
      <c r="D2" s="6" t="str">
        <f>IF($B2="","",IFERROR(INDEX('Типы элементов'!$D:$D,MATCH($B2,'Типы элементов'!$B:$B,0)),""))</f>
        <v/>
      </c>
      <c r="E2" s="6" t="str">
        <f>IF($B2="","",IFERROR(INDEX('Типы элементов'!$E:$E,MATCH($B2,'Типы элементов'!$B:$B,0)),""))</f>
        <v/>
      </c>
      <c r="F2" s="6" t="str">
        <f>IF($B2="","",IFERROR(INDEX('Типы элементов'!$F:$F,MATCH($B2,'Типы элементов'!$B:$B,0)),""))</f>
        <v/>
      </c>
      <c r="G2" s="6" t="str">
        <f>IF($B2="","",IFERROR(INDEX('Типы элементов'!$G:$G,MATCH($B2,'Типы элементов'!$B:$B,0)),""))</f>
        <v/>
      </c>
      <c r="H2" s="6" t="str">
        <f>IF($B2="","",IFERROR(INDEX('Типы элементов'!$H:$H,MATCH($B2,'Типы элементов'!$B:$B,0)),""))</f>
        <v/>
      </c>
      <c r="I2" s="6" t="str">
        <f>IF($B2="","",IFERROR(INDEX('Типы элементов'!$I:$I,MATCH($B2,'Типы элементов'!$B:$B,0)),""))</f>
        <v/>
      </c>
      <c r="J2" s="6" t="str">
        <f>IF($B2="","",IFERROR(INDEX('Типы элементов'!$J:$J,MATCH($B2,'Типы элементов'!$B:$B,0)),""))</f>
        <v/>
      </c>
      <c r="K2" s="6" t="str">
        <f>IF($B2="","",IFERROR(INDEX('Типы элементов'!$K:$K,MATCH($B2,'Типы элементов'!$B:$B,0)),""))</f>
        <v/>
      </c>
      <c r="L2" s="6" t="str">
        <f>IF($B2="","",IFERROR(INDEX('Типы элементов'!$L:$L,MATCH($B2,'Типы элементов'!$B:$B,0)),""))</f>
        <v/>
      </c>
      <c r="M2" s="6" t="str">
        <f>IF($B2="","",IFERROR(INDEX('Типы элементов'!$M:$M,MATCH($B2,'Типы элементов'!$B:$B,0)),""))</f>
        <v/>
      </c>
      <c r="N2" s="6" t="str">
        <f>IF($B2="","",IFERROR(INDEX('Типы элементов'!$N:$N,MATCH($B2,'Типы элементов'!$B:$B,0)),""))</f>
        <v/>
      </c>
      <c r="O2" s="6" t="str">
        <f>IF($B2="","",IFERROR(INDEX('Типы элементов'!$O:$O,MATCH($B2,'Типы элементов'!$B:$B,0)),""))</f>
        <v/>
      </c>
      <c r="P2" s="6" t="str">
        <f>IF($B2="","",IFERROR(INDEX('Типы элементов'!$P:$P,MATCH($B2,'Типы элементов'!$B:$B,0)),""))</f>
        <v/>
      </c>
    </row>
    <row r="3" spans="1:16">
      <c r="A3" s="6">
        <v>2</v>
      </c>
      <c r="B3" s="6"/>
      <c r="C3" s="6" t="str">
        <f>IF($B3="","",IFERROR(INDEX('Типы элементов'!$C:$C,MATCH($B3,'Типы элементов'!$B:$B,0)),""))</f>
        <v/>
      </c>
      <c r="D3" s="6" t="str">
        <f>IF($B3="","",IFERROR(INDEX('Типы элементов'!$D:$D,MATCH($B3,'Типы элементов'!$B:$B,0)),""))</f>
        <v/>
      </c>
      <c r="E3" s="6" t="str">
        <f>IF($B3="","",IFERROR(INDEX('Типы элементов'!$E:$E,MATCH($B3,'Типы элементов'!$B:$B,0)),""))</f>
        <v/>
      </c>
      <c r="F3" s="6" t="str">
        <f>IF($B3="","",IFERROR(INDEX('Типы элементов'!$F:$F,MATCH($B3,'Типы элементов'!$B:$B,0)),""))</f>
        <v/>
      </c>
      <c r="G3" s="6" t="str">
        <f>IF($B3="","",IFERROR(INDEX('Типы элементов'!$G:$G,MATCH($B3,'Типы элементов'!$B:$B,0)),""))</f>
        <v/>
      </c>
      <c r="H3" s="6" t="str">
        <f>IF($B3="","",IFERROR(INDEX('Типы элементов'!$H:$H,MATCH($B3,'Типы элементов'!$B:$B,0)),""))</f>
        <v/>
      </c>
      <c r="I3" s="6" t="str">
        <f>IF($B3="","",IFERROR(INDEX('Типы элементов'!$I:$I,MATCH($B3,'Типы элементов'!$B:$B,0)),""))</f>
        <v/>
      </c>
      <c r="J3" s="6" t="str">
        <f>IF($B3="","",IFERROR(INDEX('Типы элементов'!$J:$J,MATCH($B3,'Типы элементов'!$B:$B,0)),""))</f>
        <v/>
      </c>
      <c r="K3" s="6" t="str">
        <f>IF($B3="","",IFERROR(INDEX('Типы элементов'!$K:$K,MATCH($B3,'Типы элементов'!$B:$B,0)),""))</f>
        <v/>
      </c>
      <c r="L3" s="6" t="str">
        <f>IF($B3="","",IFERROR(INDEX('Типы элементов'!$L:$L,MATCH($B3,'Типы элементов'!$B:$B,0)),""))</f>
        <v/>
      </c>
      <c r="M3" s="6" t="str">
        <f>IF($B3="","",IFERROR(INDEX('Типы элементов'!$M:$M,MATCH($B3,'Типы элементов'!$B:$B,0)),""))</f>
        <v/>
      </c>
      <c r="N3" s="6" t="str">
        <f>IF($B3="","",IFERROR(INDEX('Типы элементов'!$N:$N,MATCH($B3,'Типы элементов'!$B:$B,0)),""))</f>
        <v/>
      </c>
      <c r="O3" s="6" t="str">
        <f>IF($B3="","",IFERROR(INDEX('Типы элементов'!$O:$O,MATCH($B3,'Типы элементов'!$B:$B,0)),""))</f>
        <v/>
      </c>
      <c r="P3" s="6" t="str">
        <f>IF($B3="","",IFERROR(INDEX('Типы элементов'!$P:$P,MATCH($B3,'Типы элементов'!$B:$B,0)),""))</f>
        <v/>
      </c>
    </row>
    <row r="4" spans="1:16">
      <c r="A4" s="6">
        <v>3</v>
      </c>
      <c r="B4" s="6"/>
      <c r="C4" s="6" t="str">
        <f>IF($B4="","",IFERROR(INDEX('Типы элементов'!$C:$C,MATCH($B4,'Типы элементов'!$B:$B,0)),""))</f>
        <v/>
      </c>
      <c r="D4" s="6" t="str">
        <f>IF($B4="","",IFERROR(INDEX('Типы элементов'!$D:$D,MATCH($B4,'Типы элементов'!$B:$B,0)),""))</f>
        <v/>
      </c>
      <c r="E4" s="6" t="str">
        <f>IF($B4="","",IFERROR(INDEX('Типы элементов'!$E:$E,MATCH($B4,'Типы элементов'!$B:$B,0)),""))</f>
        <v/>
      </c>
      <c r="F4" s="6" t="str">
        <f>IF($B4="","",IFERROR(INDEX('Типы элементов'!$F:$F,MATCH($B4,'Типы элементов'!$B:$B,0)),""))</f>
        <v/>
      </c>
      <c r="G4" s="6" t="str">
        <f>IF($B4="","",IFERROR(INDEX('Типы элементов'!$G:$G,MATCH($B4,'Типы элементов'!$B:$B,0)),""))</f>
        <v/>
      </c>
      <c r="H4" s="6" t="str">
        <f>IF($B4="","",IFERROR(INDEX('Типы элементов'!$H:$H,MATCH($B4,'Типы элементов'!$B:$B,0)),""))</f>
        <v/>
      </c>
      <c r="I4" s="6" t="str">
        <f>IF($B4="","",IFERROR(INDEX('Типы элементов'!$I:$I,MATCH($B4,'Типы элементов'!$B:$B,0)),""))</f>
        <v/>
      </c>
      <c r="J4" s="6" t="str">
        <f>IF($B4="","",IFERROR(INDEX('Типы элементов'!$J:$J,MATCH($B4,'Типы элементов'!$B:$B,0)),""))</f>
        <v/>
      </c>
      <c r="K4" s="6" t="str">
        <f>IF($B4="","",IFERROR(INDEX('Типы элементов'!$K:$K,MATCH($B4,'Типы элементов'!$B:$B,0)),""))</f>
        <v/>
      </c>
      <c r="L4" s="6" t="str">
        <f>IF($B4="","",IFERROR(INDEX('Типы элементов'!$L:$L,MATCH($B4,'Типы элементов'!$B:$B,0)),""))</f>
        <v/>
      </c>
      <c r="M4" s="6" t="str">
        <f>IF($B4="","",IFERROR(INDEX('Типы элементов'!$M:$M,MATCH($B4,'Типы элементов'!$B:$B,0)),""))</f>
        <v/>
      </c>
      <c r="N4" s="6" t="str">
        <f>IF($B4="","",IFERROR(INDEX('Типы элементов'!$N:$N,MATCH($B4,'Типы элементов'!$B:$B,0)),""))</f>
        <v/>
      </c>
      <c r="O4" s="6" t="str">
        <f>IF($B4="","",IFERROR(INDEX('Типы элементов'!$O:$O,MATCH($B4,'Типы элементов'!$B:$B,0)),""))</f>
        <v/>
      </c>
      <c r="P4" s="6" t="str">
        <f>IF($B4="","",IFERROR(INDEX('Типы элементов'!$P:$P,MATCH($B4,'Типы элементов'!$B:$B,0)),""))</f>
        <v/>
      </c>
    </row>
    <row r="5" spans="1:16">
      <c r="A5" s="6">
        <v>4</v>
      </c>
      <c r="B5" s="6"/>
      <c r="C5" s="6" t="str">
        <f>IF($B5="","",IFERROR(INDEX('Типы элементов'!$C:$C,MATCH($B5,'Типы элементов'!$B:$B,0)),""))</f>
        <v/>
      </c>
      <c r="D5" s="6" t="str">
        <f>IF($B5="","",IFERROR(INDEX('Типы элементов'!$D:$D,MATCH($B5,'Типы элементов'!$B:$B,0)),""))</f>
        <v/>
      </c>
      <c r="E5" s="6" t="str">
        <f>IF($B5="","",IFERROR(INDEX('Типы элементов'!$E:$E,MATCH($B5,'Типы элементов'!$B:$B,0)),""))</f>
        <v/>
      </c>
      <c r="F5" s="6" t="str">
        <f>IF($B5="","",IFERROR(INDEX('Типы элементов'!$F:$F,MATCH($B5,'Типы элементов'!$B:$B,0)),""))</f>
        <v/>
      </c>
      <c r="G5" s="6" t="str">
        <f>IF($B5="","",IFERROR(INDEX('Типы элементов'!$G:$G,MATCH($B5,'Типы элементов'!$B:$B,0)),""))</f>
        <v/>
      </c>
      <c r="H5" s="6" t="str">
        <f>IF($B5="","",IFERROR(INDEX('Типы элементов'!$H:$H,MATCH($B5,'Типы элементов'!$B:$B,0)),""))</f>
        <v/>
      </c>
      <c r="I5" s="6" t="str">
        <f>IF($B5="","",IFERROR(INDEX('Типы элементов'!$I:$I,MATCH($B5,'Типы элементов'!$B:$B,0)),""))</f>
        <v/>
      </c>
      <c r="J5" s="6" t="str">
        <f>IF($B5="","",IFERROR(INDEX('Типы элементов'!$J:$J,MATCH($B5,'Типы элементов'!$B:$B,0)),""))</f>
        <v/>
      </c>
      <c r="K5" s="6" t="str">
        <f>IF($B5="","",IFERROR(INDEX('Типы элементов'!$K:$K,MATCH($B5,'Типы элементов'!$B:$B,0)),""))</f>
        <v/>
      </c>
      <c r="L5" s="6" t="str">
        <f>IF($B5="","",IFERROR(INDEX('Типы элементов'!$L:$L,MATCH($B5,'Типы элементов'!$B:$B,0)),""))</f>
        <v/>
      </c>
      <c r="M5" s="6" t="str">
        <f>IF($B5="","",IFERROR(INDEX('Типы элементов'!$M:$M,MATCH($B5,'Типы элементов'!$B:$B,0)),""))</f>
        <v/>
      </c>
      <c r="N5" s="6" t="str">
        <f>IF($B5="","",IFERROR(INDEX('Типы элементов'!$N:$N,MATCH($B5,'Типы элементов'!$B:$B,0)),""))</f>
        <v/>
      </c>
      <c r="O5" s="6" t="str">
        <f>IF($B5="","",IFERROR(INDEX('Типы элементов'!$O:$O,MATCH($B5,'Типы элементов'!$B:$B,0)),""))</f>
        <v/>
      </c>
      <c r="P5" s="6" t="str">
        <f>IF($B5="","",IFERROR(INDEX('Типы элементов'!$P:$P,MATCH($B5,'Типы элементов'!$B:$B,0)),""))</f>
        <v/>
      </c>
    </row>
    <row r="6" spans="1:16">
      <c r="A6" s="6">
        <v>5</v>
      </c>
      <c r="B6" s="6"/>
      <c r="C6" s="6" t="str">
        <f>IF($B6="","",IFERROR(INDEX('Типы элементов'!$C:$C,MATCH($B6,'Типы элементов'!$B:$B,0)),""))</f>
        <v/>
      </c>
      <c r="D6" s="6" t="str">
        <f>IF($B6="","",IFERROR(INDEX('Типы элементов'!$D:$D,MATCH($B6,'Типы элементов'!$B:$B,0)),""))</f>
        <v/>
      </c>
      <c r="E6" s="6" t="str">
        <f>IF($B6="","",IFERROR(INDEX('Типы элементов'!$E:$E,MATCH($B6,'Типы элементов'!$B:$B,0)),""))</f>
        <v/>
      </c>
      <c r="F6" s="6" t="str">
        <f>IF($B6="","",IFERROR(INDEX('Типы элементов'!$F:$F,MATCH($B6,'Типы элементов'!$B:$B,0)),""))</f>
        <v/>
      </c>
      <c r="G6" s="6" t="str">
        <f>IF($B6="","",IFERROR(INDEX('Типы элементов'!$G:$G,MATCH($B6,'Типы элементов'!$B:$B,0)),""))</f>
        <v/>
      </c>
      <c r="H6" s="6" t="str">
        <f>IF($B6="","",IFERROR(INDEX('Типы элементов'!$H:$H,MATCH($B6,'Типы элементов'!$B:$B,0)),""))</f>
        <v/>
      </c>
      <c r="I6" s="6" t="str">
        <f>IF($B6="","",IFERROR(INDEX('Типы элементов'!$I:$I,MATCH($B6,'Типы элементов'!$B:$B,0)),""))</f>
        <v/>
      </c>
      <c r="J6" s="6" t="str">
        <f>IF($B6="","",IFERROR(INDEX('Типы элементов'!$J:$J,MATCH($B6,'Типы элементов'!$B:$B,0)),""))</f>
        <v/>
      </c>
      <c r="K6" s="6" t="str">
        <f>IF($B6="","",IFERROR(INDEX('Типы элементов'!$K:$K,MATCH($B6,'Типы элементов'!$B:$B,0)),""))</f>
        <v/>
      </c>
      <c r="L6" s="6" t="str">
        <f>IF($B6="","",IFERROR(INDEX('Типы элементов'!$L:$L,MATCH($B6,'Типы элементов'!$B:$B,0)),""))</f>
        <v/>
      </c>
      <c r="M6" s="6" t="str">
        <f>IF($B6="","",IFERROR(INDEX('Типы элементов'!$M:$M,MATCH($B6,'Типы элементов'!$B:$B,0)),""))</f>
        <v/>
      </c>
      <c r="N6" s="6" t="str">
        <f>IF($B6="","",IFERROR(INDEX('Типы элементов'!$N:$N,MATCH($B6,'Типы элементов'!$B:$B,0)),""))</f>
        <v/>
      </c>
      <c r="O6" s="6" t="str">
        <f>IF($B6="","",IFERROR(INDEX('Типы элементов'!$O:$O,MATCH($B6,'Типы элементов'!$B:$B,0)),""))</f>
        <v/>
      </c>
      <c r="P6" s="6" t="str">
        <f>IF($B6="","",IFERROR(INDEX('Типы элементов'!$P:$P,MATCH($B6,'Типы элементов'!$B:$B,0)),""))</f>
        <v/>
      </c>
    </row>
    <row r="7" spans="1:16">
      <c r="A7" s="6">
        <v>6</v>
      </c>
      <c r="B7" s="6"/>
      <c r="C7" s="6" t="str">
        <f>IF($B7="","",IFERROR(INDEX('Типы элементов'!$C:$C,MATCH($B7,'Типы элементов'!$B:$B,0)),""))</f>
        <v/>
      </c>
      <c r="D7" s="6" t="str">
        <f>IF($B7="","",IFERROR(INDEX('Типы элементов'!$D:$D,MATCH($B7,'Типы элементов'!$B:$B,0)),""))</f>
        <v/>
      </c>
      <c r="E7" s="6" t="str">
        <f>IF($B7="","",IFERROR(INDEX('Типы элементов'!$E:$E,MATCH($B7,'Типы элементов'!$B:$B,0)),""))</f>
        <v/>
      </c>
      <c r="F7" s="6" t="str">
        <f>IF($B7="","",IFERROR(INDEX('Типы элементов'!$F:$F,MATCH($B7,'Типы элементов'!$B:$B,0)),""))</f>
        <v/>
      </c>
      <c r="G7" s="6" t="str">
        <f>IF($B7="","",IFERROR(INDEX('Типы элементов'!$G:$G,MATCH($B7,'Типы элементов'!$B:$B,0)),""))</f>
        <v/>
      </c>
      <c r="H7" s="6" t="str">
        <f>IF($B7="","",IFERROR(INDEX('Типы элементов'!$H:$H,MATCH($B7,'Типы элементов'!$B:$B,0)),""))</f>
        <v/>
      </c>
      <c r="I7" s="6" t="str">
        <f>IF($B7="","",IFERROR(INDEX('Типы элементов'!$I:$I,MATCH($B7,'Типы элементов'!$B:$B,0)),""))</f>
        <v/>
      </c>
      <c r="J7" s="6" t="str">
        <f>IF($B7="","",IFERROR(INDEX('Типы элементов'!$J:$J,MATCH($B7,'Типы элементов'!$B:$B,0)),""))</f>
        <v/>
      </c>
      <c r="K7" s="6" t="str">
        <f>IF($B7="","",IFERROR(INDEX('Типы элементов'!$K:$K,MATCH($B7,'Типы элементов'!$B:$B,0)),""))</f>
        <v/>
      </c>
      <c r="L7" s="6" t="str">
        <f>IF($B7="","",IFERROR(INDEX('Типы элементов'!$L:$L,MATCH($B7,'Типы элементов'!$B:$B,0)),""))</f>
        <v/>
      </c>
      <c r="M7" s="6" t="str">
        <f>IF($B7="","",IFERROR(INDEX('Типы элементов'!$M:$M,MATCH($B7,'Типы элементов'!$B:$B,0)),""))</f>
        <v/>
      </c>
      <c r="N7" s="6" t="str">
        <f>IF($B7="","",IFERROR(INDEX('Типы элементов'!$N:$N,MATCH($B7,'Типы элементов'!$B:$B,0)),""))</f>
        <v/>
      </c>
      <c r="O7" s="6" t="str">
        <f>IF($B7="","",IFERROR(INDEX('Типы элементов'!$O:$O,MATCH($B7,'Типы элементов'!$B:$B,0)),""))</f>
        <v/>
      </c>
      <c r="P7" s="6" t="str">
        <f>IF($B7="","",IFERROR(INDEX('Типы элементов'!$P:$P,MATCH($B7,'Типы элементов'!$B:$B,0)),""))</f>
        <v/>
      </c>
    </row>
    <row r="8" spans="1:16">
      <c r="A8" s="6">
        <v>7</v>
      </c>
      <c r="B8" s="6"/>
      <c r="C8" s="6" t="str">
        <f>IF($B8="","",IFERROR(INDEX('Типы элементов'!$C:$C,MATCH($B8,'Типы элементов'!$B:$B,0)),""))</f>
        <v/>
      </c>
      <c r="D8" s="6" t="str">
        <f>IF($B8="","",IFERROR(INDEX('Типы элементов'!$D:$D,MATCH($B8,'Типы элементов'!$B:$B,0)),""))</f>
        <v/>
      </c>
      <c r="E8" s="6" t="str">
        <f>IF($B8="","",IFERROR(INDEX('Типы элементов'!$E:$E,MATCH($B8,'Типы элементов'!$B:$B,0)),""))</f>
        <v/>
      </c>
      <c r="F8" s="6" t="str">
        <f>IF($B8="","",IFERROR(INDEX('Типы элементов'!$F:$F,MATCH($B8,'Типы элементов'!$B:$B,0)),""))</f>
        <v/>
      </c>
      <c r="G8" s="6" t="str">
        <f>IF($B8="","",IFERROR(INDEX('Типы элементов'!$G:$G,MATCH($B8,'Типы элементов'!$B:$B,0)),""))</f>
        <v/>
      </c>
      <c r="H8" s="6" t="str">
        <f>IF($B8="","",IFERROR(INDEX('Типы элементов'!$H:$H,MATCH($B8,'Типы элементов'!$B:$B,0)),""))</f>
        <v/>
      </c>
      <c r="I8" s="6" t="str">
        <f>IF($B8="","",IFERROR(INDEX('Типы элементов'!$I:$I,MATCH($B8,'Типы элементов'!$B:$B,0)),""))</f>
        <v/>
      </c>
      <c r="J8" s="6" t="str">
        <f>IF($B8="","",IFERROR(INDEX('Типы элементов'!$J:$J,MATCH($B8,'Типы элементов'!$B:$B,0)),""))</f>
        <v/>
      </c>
      <c r="K8" s="6" t="str">
        <f>IF($B8="","",IFERROR(INDEX('Типы элементов'!$K:$K,MATCH($B8,'Типы элементов'!$B:$B,0)),""))</f>
        <v/>
      </c>
      <c r="L8" s="6" t="str">
        <f>IF($B8="","",IFERROR(INDEX('Типы элементов'!$L:$L,MATCH($B8,'Типы элементов'!$B:$B,0)),""))</f>
        <v/>
      </c>
      <c r="M8" s="6" t="str">
        <f>IF($B8="","",IFERROR(INDEX('Типы элементов'!$M:$M,MATCH($B8,'Типы элементов'!$B:$B,0)),""))</f>
        <v/>
      </c>
      <c r="N8" s="6" t="str">
        <f>IF($B8="","",IFERROR(INDEX('Типы элементов'!$N:$N,MATCH($B8,'Типы элементов'!$B:$B,0)),""))</f>
        <v/>
      </c>
      <c r="O8" s="6" t="str">
        <f>IF($B8="","",IFERROR(INDEX('Типы элементов'!$O:$O,MATCH($B8,'Типы элементов'!$B:$B,0)),""))</f>
        <v/>
      </c>
      <c r="P8" s="6" t="str">
        <f>IF($B8="","",IFERROR(INDEX('Типы элементов'!$P:$P,MATCH($B8,'Типы элементов'!$B:$B,0)),""))</f>
        <v/>
      </c>
    </row>
    <row r="9" spans="1:16">
      <c r="A9" s="6">
        <v>8</v>
      </c>
      <c r="B9" s="6"/>
      <c r="C9" s="6" t="str">
        <f>IF($B9="","",IFERROR(INDEX('Типы элементов'!$C:$C,MATCH($B9,'Типы элементов'!$B:$B,0)),""))</f>
        <v/>
      </c>
      <c r="D9" s="6" t="str">
        <f>IF($B9="","",IFERROR(INDEX('Типы элементов'!$D:$D,MATCH($B9,'Типы элементов'!$B:$B,0)),""))</f>
        <v/>
      </c>
      <c r="E9" s="6" t="str">
        <f>IF($B9="","",IFERROR(INDEX('Типы элементов'!$E:$E,MATCH($B9,'Типы элементов'!$B:$B,0)),""))</f>
        <v/>
      </c>
      <c r="F9" s="6" t="str">
        <f>IF($B9="","",IFERROR(INDEX('Типы элементов'!$F:$F,MATCH($B9,'Типы элементов'!$B:$B,0)),""))</f>
        <v/>
      </c>
      <c r="G9" s="6" t="str">
        <f>IF($B9="","",IFERROR(INDEX('Типы элементов'!$G:$G,MATCH($B9,'Типы элементов'!$B:$B,0)),""))</f>
        <v/>
      </c>
      <c r="H9" s="6" t="str">
        <f>IF($B9="","",IFERROR(INDEX('Типы элементов'!$H:$H,MATCH($B9,'Типы элементов'!$B:$B,0)),""))</f>
        <v/>
      </c>
      <c r="I9" s="6" t="str">
        <f>IF($B9="","",IFERROR(INDEX('Типы элементов'!$I:$I,MATCH($B9,'Типы элементов'!$B:$B,0)),""))</f>
        <v/>
      </c>
      <c r="J9" s="6" t="str">
        <f>IF($B9="","",IFERROR(INDEX('Типы элементов'!$J:$J,MATCH($B9,'Типы элементов'!$B:$B,0)),""))</f>
        <v/>
      </c>
      <c r="K9" s="6" t="str">
        <f>IF($B9="","",IFERROR(INDEX('Типы элементов'!$K:$K,MATCH($B9,'Типы элементов'!$B:$B,0)),""))</f>
        <v/>
      </c>
      <c r="L9" s="6" t="str">
        <f>IF($B9="","",IFERROR(INDEX('Типы элементов'!$L:$L,MATCH($B9,'Типы элементов'!$B:$B,0)),""))</f>
        <v/>
      </c>
      <c r="M9" s="6" t="str">
        <f>IF($B9="","",IFERROR(INDEX('Типы элементов'!$M:$M,MATCH($B9,'Типы элементов'!$B:$B,0)),""))</f>
        <v/>
      </c>
      <c r="N9" s="6" t="str">
        <f>IF($B9="","",IFERROR(INDEX('Типы элементов'!$N:$N,MATCH($B9,'Типы элементов'!$B:$B,0)),""))</f>
        <v/>
      </c>
      <c r="O9" s="6" t="str">
        <f>IF($B9="","",IFERROR(INDEX('Типы элементов'!$O:$O,MATCH($B9,'Типы элементов'!$B:$B,0)),""))</f>
        <v/>
      </c>
      <c r="P9" s="6" t="str">
        <f>IF($B9="","",IFERROR(INDEX('Типы элементов'!$P:$P,MATCH($B9,'Типы элементов'!$B:$B,0)),""))</f>
        <v/>
      </c>
    </row>
    <row r="10" spans="1:16">
      <c r="A10" s="6">
        <v>9</v>
      </c>
      <c r="B10" s="6"/>
      <c r="C10" s="6" t="str">
        <f>IF($B10="","",IFERROR(INDEX('Типы элементов'!$C:$C,MATCH($B10,'Типы элементов'!$B:$B,0)),""))</f>
        <v/>
      </c>
      <c r="D10" s="6" t="str">
        <f>IF($B10="","",IFERROR(INDEX('Типы элементов'!$D:$D,MATCH($B10,'Типы элементов'!$B:$B,0)),""))</f>
        <v/>
      </c>
      <c r="E10" s="6" t="str">
        <f>IF($B10="","",IFERROR(INDEX('Типы элементов'!$E:$E,MATCH($B10,'Типы элементов'!$B:$B,0)),""))</f>
        <v/>
      </c>
      <c r="F10" s="6" t="str">
        <f>IF($B10="","",IFERROR(INDEX('Типы элементов'!$F:$F,MATCH($B10,'Типы элементов'!$B:$B,0)),""))</f>
        <v/>
      </c>
      <c r="G10" s="6" t="str">
        <f>IF($B10="","",IFERROR(INDEX('Типы элементов'!$G:$G,MATCH($B10,'Типы элементов'!$B:$B,0)),""))</f>
        <v/>
      </c>
      <c r="H10" s="6" t="str">
        <f>IF($B10="","",IFERROR(INDEX('Типы элементов'!$H:$H,MATCH($B10,'Типы элементов'!$B:$B,0)),""))</f>
        <v/>
      </c>
      <c r="I10" s="6" t="str">
        <f>IF($B10="","",IFERROR(INDEX('Типы элементов'!$I:$I,MATCH($B10,'Типы элементов'!$B:$B,0)),""))</f>
        <v/>
      </c>
      <c r="J10" s="6" t="str">
        <f>IF($B10="","",IFERROR(INDEX('Типы элементов'!$J:$J,MATCH($B10,'Типы элементов'!$B:$B,0)),""))</f>
        <v/>
      </c>
      <c r="K10" s="6" t="str">
        <f>IF($B10="","",IFERROR(INDEX('Типы элементов'!$K:$K,MATCH($B10,'Типы элементов'!$B:$B,0)),""))</f>
        <v/>
      </c>
      <c r="L10" s="6" t="str">
        <f>IF($B10="","",IFERROR(INDEX('Типы элементов'!$L:$L,MATCH($B10,'Типы элементов'!$B:$B,0)),""))</f>
        <v/>
      </c>
      <c r="M10" s="6" t="str">
        <f>IF($B10="","",IFERROR(INDEX('Типы элементов'!$M:$M,MATCH($B10,'Типы элементов'!$B:$B,0)),""))</f>
        <v/>
      </c>
      <c r="N10" s="6" t="str">
        <f>IF($B10="","",IFERROR(INDEX('Типы элементов'!$N:$N,MATCH($B10,'Типы элементов'!$B:$B,0)),""))</f>
        <v/>
      </c>
      <c r="O10" s="6" t="str">
        <f>IF($B10="","",IFERROR(INDEX('Типы элементов'!$O:$O,MATCH($B10,'Типы элементов'!$B:$B,0)),""))</f>
        <v/>
      </c>
      <c r="P10" s="6" t="str">
        <f>IF($B10="","",IFERROR(INDEX('Типы элементов'!$P:$P,MATCH($B10,'Типы элементов'!$B:$B,0)),""))</f>
        <v/>
      </c>
    </row>
    <row r="11" spans="1:16">
      <c r="A11" s="6">
        <v>10</v>
      </c>
      <c r="B11" s="6"/>
      <c r="C11" s="6" t="str">
        <f>IF($B11="","",IFERROR(INDEX('Типы элементов'!$C:$C,MATCH($B11,'Типы элементов'!$B:$B,0)),""))</f>
        <v/>
      </c>
      <c r="D11" s="6" t="str">
        <f>IF($B11="","",IFERROR(INDEX('Типы элементов'!$D:$D,MATCH($B11,'Типы элементов'!$B:$B,0)),""))</f>
        <v/>
      </c>
      <c r="E11" s="6" t="str">
        <f>IF($B11="","",IFERROR(INDEX('Типы элементов'!$E:$E,MATCH($B11,'Типы элементов'!$B:$B,0)),""))</f>
        <v/>
      </c>
      <c r="F11" s="6" t="str">
        <f>IF($B11="","",IFERROR(INDEX('Типы элементов'!$F:$F,MATCH($B11,'Типы элементов'!$B:$B,0)),""))</f>
        <v/>
      </c>
      <c r="G11" s="6" t="str">
        <f>IF($B11="","",IFERROR(INDEX('Типы элементов'!$G:$G,MATCH($B11,'Типы элементов'!$B:$B,0)),""))</f>
        <v/>
      </c>
      <c r="H11" s="6" t="str">
        <f>IF($B11="","",IFERROR(INDEX('Типы элементов'!$H:$H,MATCH($B11,'Типы элементов'!$B:$B,0)),""))</f>
        <v/>
      </c>
      <c r="I11" s="6" t="str">
        <f>IF($B11="","",IFERROR(INDEX('Типы элементов'!$I:$I,MATCH($B11,'Типы элементов'!$B:$B,0)),""))</f>
        <v/>
      </c>
      <c r="J11" s="6" t="str">
        <f>IF($B11="","",IFERROR(INDEX('Типы элементов'!$J:$J,MATCH($B11,'Типы элементов'!$B:$B,0)),""))</f>
        <v/>
      </c>
      <c r="K11" s="6" t="str">
        <f>IF($B11="","",IFERROR(INDEX('Типы элементов'!$K:$K,MATCH($B11,'Типы элементов'!$B:$B,0)),""))</f>
        <v/>
      </c>
      <c r="L11" s="6" t="str">
        <f>IF($B11="","",IFERROR(INDEX('Типы элементов'!$L:$L,MATCH($B11,'Типы элементов'!$B:$B,0)),""))</f>
        <v/>
      </c>
      <c r="M11" s="6" t="str">
        <f>IF($B11="","",IFERROR(INDEX('Типы элементов'!$M:$M,MATCH($B11,'Типы элементов'!$B:$B,0)),""))</f>
        <v/>
      </c>
      <c r="N11" s="6" t="str">
        <f>IF($B11="","",IFERROR(INDEX('Типы элементов'!$N:$N,MATCH($B11,'Типы элементов'!$B:$B,0)),""))</f>
        <v/>
      </c>
      <c r="O11" s="6" t="str">
        <f>IF($B11="","",IFERROR(INDEX('Типы элементов'!$O:$O,MATCH($B11,'Типы элементов'!$B:$B,0)),""))</f>
        <v/>
      </c>
      <c r="P11" s="6" t="str">
        <f>IF($B11="","",IFERROR(INDEX('Типы элементов'!$P:$P,MATCH($B11,'Типы элементов'!$B:$B,0)),""))</f>
        <v/>
      </c>
    </row>
    <row r="12" spans="1:16">
      <c r="A12" s="6">
        <v>11</v>
      </c>
      <c r="B12" s="6"/>
      <c r="C12" s="6" t="str">
        <f>IF($B12="","",IFERROR(INDEX('Типы элементов'!$C:$C,MATCH($B12,'Типы элементов'!$B:$B,0)),""))</f>
        <v/>
      </c>
      <c r="D12" s="6" t="str">
        <f>IF($B12="","",IFERROR(INDEX('Типы элементов'!$D:$D,MATCH($B12,'Типы элементов'!$B:$B,0)),""))</f>
        <v/>
      </c>
      <c r="E12" s="6" t="str">
        <f>IF($B12="","",IFERROR(INDEX('Типы элементов'!$E:$E,MATCH($B12,'Типы элементов'!$B:$B,0)),""))</f>
        <v/>
      </c>
      <c r="F12" s="6" t="str">
        <f>IF($B12="","",IFERROR(INDEX('Типы элементов'!$F:$F,MATCH($B12,'Типы элементов'!$B:$B,0)),""))</f>
        <v/>
      </c>
      <c r="G12" s="6" t="str">
        <f>IF($B12="","",IFERROR(INDEX('Типы элементов'!$G:$G,MATCH($B12,'Типы элементов'!$B:$B,0)),""))</f>
        <v/>
      </c>
      <c r="H12" s="6" t="str">
        <f>IF($B12="","",IFERROR(INDEX('Типы элементов'!$H:$H,MATCH($B12,'Типы элементов'!$B:$B,0)),""))</f>
        <v/>
      </c>
      <c r="I12" s="6" t="str">
        <f>IF($B12="","",IFERROR(INDEX('Типы элементов'!$I:$I,MATCH($B12,'Типы элементов'!$B:$B,0)),""))</f>
        <v/>
      </c>
      <c r="J12" s="6" t="str">
        <f>IF($B12="","",IFERROR(INDEX('Типы элементов'!$J:$J,MATCH($B12,'Типы элементов'!$B:$B,0)),""))</f>
        <v/>
      </c>
      <c r="K12" s="6" t="str">
        <f>IF($B12="","",IFERROR(INDEX('Типы элементов'!$K:$K,MATCH($B12,'Типы элементов'!$B:$B,0)),""))</f>
        <v/>
      </c>
      <c r="L12" s="6" t="str">
        <f>IF($B12="","",IFERROR(INDEX('Типы элементов'!$L:$L,MATCH($B12,'Типы элементов'!$B:$B,0)),""))</f>
        <v/>
      </c>
      <c r="M12" s="6" t="str">
        <f>IF($B12="","",IFERROR(INDEX('Типы элементов'!$M:$M,MATCH($B12,'Типы элементов'!$B:$B,0)),""))</f>
        <v/>
      </c>
      <c r="N12" s="6" t="str">
        <f>IF($B12="","",IFERROR(INDEX('Типы элементов'!$N:$N,MATCH($B12,'Типы элементов'!$B:$B,0)),""))</f>
        <v/>
      </c>
      <c r="O12" s="6" t="str">
        <f>IF($B12="","",IFERROR(INDEX('Типы элементов'!$O:$O,MATCH($B12,'Типы элементов'!$B:$B,0)),""))</f>
        <v/>
      </c>
      <c r="P12" s="6" t="str">
        <f>IF($B12="","",IFERROR(INDEX('Типы элементов'!$P:$P,MATCH($B12,'Типы элементов'!$B:$B,0)),""))</f>
        <v/>
      </c>
    </row>
    <row r="13" spans="1:16">
      <c r="A13" s="6">
        <v>12</v>
      </c>
      <c r="B13" s="6"/>
      <c r="C13" s="6" t="str">
        <f>IF($B13="","",IFERROR(INDEX('Типы элементов'!$C:$C,MATCH($B13,'Типы элементов'!$B:$B,0)),""))</f>
        <v/>
      </c>
      <c r="D13" s="6" t="str">
        <f>IF($B13="","",IFERROR(INDEX('Типы элементов'!$D:$D,MATCH($B13,'Типы элементов'!$B:$B,0)),""))</f>
        <v/>
      </c>
      <c r="E13" s="6" t="str">
        <f>IF($B13="","",IFERROR(INDEX('Типы элементов'!$E:$E,MATCH($B13,'Типы элементов'!$B:$B,0)),""))</f>
        <v/>
      </c>
      <c r="F13" s="6" t="str">
        <f>IF($B13="","",IFERROR(INDEX('Типы элементов'!$F:$F,MATCH($B13,'Типы элементов'!$B:$B,0)),""))</f>
        <v/>
      </c>
      <c r="G13" s="6" t="str">
        <f>IF($B13="","",IFERROR(INDEX('Типы элементов'!$G:$G,MATCH($B13,'Типы элементов'!$B:$B,0)),""))</f>
        <v/>
      </c>
      <c r="H13" s="6" t="str">
        <f>IF($B13="","",IFERROR(INDEX('Типы элементов'!$H:$H,MATCH($B13,'Типы элементов'!$B:$B,0)),""))</f>
        <v/>
      </c>
      <c r="I13" s="6" t="str">
        <f>IF($B13="","",IFERROR(INDEX('Типы элементов'!$I:$I,MATCH($B13,'Типы элементов'!$B:$B,0)),""))</f>
        <v/>
      </c>
      <c r="J13" s="6" t="str">
        <f>IF($B13="","",IFERROR(INDEX('Типы элементов'!$J:$J,MATCH($B13,'Типы элементов'!$B:$B,0)),""))</f>
        <v/>
      </c>
      <c r="K13" s="6" t="str">
        <f>IF($B13="","",IFERROR(INDEX('Типы элементов'!$K:$K,MATCH($B13,'Типы элементов'!$B:$B,0)),""))</f>
        <v/>
      </c>
      <c r="L13" s="6" t="str">
        <f>IF($B13="","",IFERROR(INDEX('Типы элементов'!$L:$L,MATCH($B13,'Типы элементов'!$B:$B,0)),""))</f>
        <v/>
      </c>
      <c r="M13" s="6" t="str">
        <f>IF($B13="","",IFERROR(INDEX('Типы элементов'!$M:$M,MATCH($B13,'Типы элементов'!$B:$B,0)),""))</f>
        <v/>
      </c>
      <c r="N13" s="6" t="str">
        <f>IF($B13="","",IFERROR(INDEX('Типы элементов'!$N:$N,MATCH($B13,'Типы элементов'!$B:$B,0)),""))</f>
        <v/>
      </c>
      <c r="O13" s="6" t="str">
        <f>IF($B13="","",IFERROR(INDEX('Типы элементов'!$O:$O,MATCH($B13,'Типы элементов'!$B:$B,0)),""))</f>
        <v/>
      </c>
      <c r="P13" s="6" t="str">
        <f>IF($B13="","",IFERROR(INDEX('Типы элементов'!$P:$P,MATCH($B13,'Типы элементов'!$B:$B,0)),""))</f>
        <v/>
      </c>
    </row>
    <row r="14" spans="1:16">
      <c r="A14" s="6">
        <v>13</v>
      </c>
      <c r="B14" s="6"/>
      <c r="C14" s="6" t="str">
        <f>IF($B14="","",IFERROR(INDEX('Типы элементов'!$C:$C,MATCH($B14,'Типы элементов'!$B:$B,0)),""))</f>
        <v/>
      </c>
      <c r="D14" s="6" t="str">
        <f>IF($B14="","",IFERROR(INDEX('Типы элементов'!$D:$D,MATCH($B14,'Типы элементов'!$B:$B,0)),""))</f>
        <v/>
      </c>
      <c r="E14" s="6" t="str">
        <f>IF($B14="","",IFERROR(INDEX('Типы элементов'!$E:$E,MATCH($B14,'Типы элементов'!$B:$B,0)),""))</f>
        <v/>
      </c>
      <c r="F14" s="6" t="str">
        <f>IF($B14="","",IFERROR(INDEX('Типы элементов'!$F:$F,MATCH($B14,'Типы элементов'!$B:$B,0)),""))</f>
        <v/>
      </c>
      <c r="G14" s="6" t="str">
        <f>IF($B14="","",IFERROR(INDEX('Типы элементов'!$G:$G,MATCH($B14,'Типы элементов'!$B:$B,0)),""))</f>
        <v/>
      </c>
      <c r="H14" s="6" t="str">
        <f>IF($B14="","",IFERROR(INDEX('Типы элементов'!$H:$H,MATCH($B14,'Типы элементов'!$B:$B,0)),""))</f>
        <v/>
      </c>
      <c r="I14" s="6" t="str">
        <f>IF($B14="","",IFERROR(INDEX('Типы элементов'!$I:$I,MATCH($B14,'Типы элементов'!$B:$B,0)),""))</f>
        <v/>
      </c>
      <c r="J14" s="6" t="str">
        <f>IF($B14="","",IFERROR(INDEX('Типы элементов'!$J:$J,MATCH($B14,'Типы элементов'!$B:$B,0)),""))</f>
        <v/>
      </c>
      <c r="K14" s="6" t="str">
        <f>IF($B14="","",IFERROR(INDEX('Типы элементов'!$K:$K,MATCH($B14,'Типы элементов'!$B:$B,0)),""))</f>
        <v/>
      </c>
      <c r="L14" s="6" t="str">
        <f>IF($B14="","",IFERROR(INDEX('Типы элементов'!$L:$L,MATCH($B14,'Типы элементов'!$B:$B,0)),""))</f>
        <v/>
      </c>
      <c r="M14" s="6" t="str">
        <f>IF($B14="","",IFERROR(INDEX('Типы элементов'!$M:$M,MATCH($B14,'Типы элементов'!$B:$B,0)),""))</f>
        <v/>
      </c>
      <c r="N14" s="6" t="str">
        <f>IF($B14="","",IFERROR(INDEX('Типы элементов'!$N:$N,MATCH($B14,'Типы элементов'!$B:$B,0)),""))</f>
        <v/>
      </c>
      <c r="O14" s="6" t="str">
        <f>IF($B14="","",IFERROR(INDEX('Типы элементов'!$O:$O,MATCH($B14,'Типы элементов'!$B:$B,0)),""))</f>
        <v/>
      </c>
      <c r="P14" s="6" t="str">
        <f>IF($B14="","",IFERROR(INDEX('Типы элементов'!$P:$P,MATCH($B14,'Типы элементов'!$B:$B,0)),""))</f>
        <v/>
      </c>
    </row>
    <row r="15" spans="1:16">
      <c r="A15" s="6">
        <v>14</v>
      </c>
      <c r="B15" s="6"/>
      <c r="C15" s="6" t="str">
        <f>IF($B15="","",IFERROR(INDEX('Типы элементов'!$C:$C,MATCH($B15,'Типы элементов'!$B:$B,0)),""))</f>
        <v/>
      </c>
      <c r="D15" s="6" t="str">
        <f>IF($B15="","",IFERROR(INDEX('Типы элементов'!$D:$D,MATCH($B15,'Типы элементов'!$B:$B,0)),""))</f>
        <v/>
      </c>
      <c r="E15" s="6" t="str">
        <f>IF($B15="","",IFERROR(INDEX('Типы элементов'!$E:$E,MATCH($B15,'Типы элементов'!$B:$B,0)),""))</f>
        <v/>
      </c>
      <c r="F15" s="6" t="str">
        <f>IF($B15="","",IFERROR(INDEX('Типы элементов'!$F:$F,MATCH($B15,'Типы элементов'!$B:$B,0)),""))</f>
        <v/>
      </c>
      <c r="G15" s="6" t="str">
        <f>IF($B15="","",IFERROR(INDEX('Типы элементов'!$G:$G,MATCH($B15,'Типы элементов'!$B:$B,0)),""))</f>
        <v/>
      </c>
      <c r="H15" s="6" t="str">
        <f>IF($B15="","",IFERROR(INDEX('Типы элементов'!$H:$H,MATCH($B15,'Типы элементов'!$B:$B,0)),""))</f>
        <v/>
      </c>
      <c r="I15" s="6" t="str">
        <f>IF($B15="","",IFERROR(INDEX('Типы элементов'!$I:$I,MATCH($B15,'Типы элементов'!$B:$B,0)),""))</f>
        <v/>
      </c>
      <c r="J15" s="6" t="str">
        <f>IF($B15="","",IFERROR(INDEX('Типы элементов'!$J:$J,MATCH($B15,'Типы элементов'!$B:$B,0)),""))</f>
        <v/>
      </c>
      <c r="K15" s="6" t="str">
        <f>IF($B15="","",IFERROR(INDEX('Типы элементов'!$K:$K,MATCH($B15,'Типы элементов'!$B:$B,0)),""))</f>
        <v/>
      </c>
      <c r="L15" s="6" t="str">
        <f>IF($B15="","",IFERROR(INDEX('Типы элементов'!$L:$L,MATCH($B15,'Типы элементов'!$B:$B,0)),""))</f>
        <v/>
      </c>
      <c r="M15" s="6" t="str">
        <f>IF($B15="","",IFERROR(INDEX('Типы элементов'!$M:$M,MATCH($B15,'Типы элементов'!$B:$B,0)),""))</f>
        <v/>
      </c>
      <c r="N15" s="6" t="str">
        <f>IF($B15="","",IFERROR(INDEX('Типы элементов'!$N:$N,MATCH($B15,'Типы элементов'!$B:$B,0)),""))</f>
        <v/>
      </c>
      <c r="O15" s="6" t="str">
        <f>IF($B15="","",IFERROR(INDEX('Типы элементов'!$O:$O,MATCH($B15,'Типы элементов'!$B:$B,0)),""))</f>
        <v/>
      </c>
      <c r="P15" s="6" t="str">
        <f>IF($B15="","",IFERROR(INDEX('Типы элементов'!$P:$P,MATCH($B15,'Типы элементов'!$B:$B,0)),""))</f>
        <v/>
      </c>
    </row>
    <row r="16" spans="1:16">
      <c r="A16" s="6">
        <v>15</v>
      </c>
      <c r="B16" s="6"/>
      <c r="C16" s="6" t="str">
        <f>IF($B16="","",IFERROR(INDEX('Типы элементов'!$C:$C,MATCH($B16,'Типы элементов'!$B:$B,0)),""))</f>
        <v/>
      </c>
      <c r="D16" s="6" t="str">
        <f>IF($B16="","",IFERROR(INDEX('Типы элементов'!$D:$D,MATCH($B16,'Типы элементов'!$B:$B,0)),""))</f>
        <v/>
      </c>
      <c r="E16" s="6" t="str">
        <f>IF($B16="","",IFERROR(INDEX('Типы элементов'!$E:$E,MATCH($B16,'Типы элементов'!$B:$B,0)),""))</f>
        <v/>
      </c>
      <c r="F16" s="6" t="str">
        <f>IF($B16="","",IFERROR(INDEX('Типы элементов'!$F:$F,MATCH($B16,'Типы элементов'!$B:$B,0)),""))</f>
        <v/>
      </c>
      <c r="G16" s="6" t="str">
        <f>IF($B16="","",IFERROR(INDEX('Типы элементов'!$G:$G,MATCH($B16,'Типы элементов'!$B:$B,0)),""))</f>
        <v/>
      </c>
      <c r="H16" s="6" t="str">
        <f>IF($B16="","",IFERROR(INDEX('Типы элементов'!$H:$H,MATCH($B16,'Типы элементов'!$B:$B,0)),""))</f>
        <v/>
      </c>
      <c r="I16" s="6" t="str">
        <f>IF($B16="","",IFERROR(INDEX('Типы элементов'!$I:$I,MATCH($B16,'Типы элементов'!$B:$B,0)),""))</f>
        <v/>
      </c>
      <c r="J16" s="6" t="str">
        <f>IF($B16="","",IFERROR(INDEX('Типы элементов'!$J:$J,MATCH($B16,'Типы элементов'!$B:$B,0)),""))</f>
        <v/>
      </c>
      <c r="K16" s="6" t="str">
        <f>IF($B16="","",IFERROR(INDEX('Типы элементов'!$K:$K,MATCH($B16,'Типы элементов'!$B:$B,0)),""))</f>
        <v/>
      </c>
      <c r="L16" s="6" t="str">
        <f>IF($B16="","",IFERROR(INDEX('Типы элементов'!$L:$L,MATCH($B16,'Типы элементов'!$B:$B,0)),""))</f>
        <v/>
      </c>
      <c r="M16" s="6" t="str">
        <f>IF($B16="","",IFERROR(INDEX('Типы элементов'!$M:$M,MATCH($B16,'Типы элементов'!$B:$B,0)),""))</f>
        <v/>
      </c>
      <c r="N16" s="6" t="str">
        <f>IF($B16="","",IFERROR(INDEX('Типы элементов'!$N:$N,MATCH($B16,'Типы элементов'!$B:$B,0)),""))</f>
        <v/>
      </c>
      <c r="O16" s="6" t="str">
        <f>IF($B16="","",IFERROR(INDEX('Типы элементов'!$O:$O,MATCH($B16,'Типы элементов'!$B:$B,0)),""))</f>
        <v/>
      </c>
      <c r="P16" s="6" t="str">
        <f>IF($B16="","",IFERROR(INDEX('Типы элементов'!$P:$P,MATCH($B16,'Типы элементов'!$B:$B,0)),""))</f>
        <v/>
      </c>
    </row>
    <row r="17" spans="1:16">
      <c r="A17" s="6">
        <v>16</v>
      </c>
      <c r="B17" s="6"/>
      <c r="C17" s="6" t="str">
        <f>IF($B17="","",IFERROR(INDEX('Типы элементов'!$C:$C,MATCH($B17,'Типы элементов'!$B:$B,0)),""))</f>
        <v/>
      </c>
      <c r="D17" s="6" t="str">
        <f>IF($B17="","",IFERROR(INDEX('Типы элементов'!$D:$D,MATCH($B17,'Типы элементов'!$B:$B,0)),""))</f>
        <v/>
      </c>
      <c r="E17" s="6" t="str">
        <f>IF($B17="","",IFERROR(INDEX('Типы элементов'!$E:$E,MATCH($B17,'Типы элементов'!$B:$B,0)),""))</f>
        <v/>
      </c>
      <c r="F17" s="6" t="str">
        <f>IF($B17="","",IFERROR(INDEX('Типы элементов'!$F:$F,MATCH($B17,'Типы элементов'!$B:$B,0)),""))</f>
        <v/>
      </c>
      <c r="G17" s="6" t="str">
        <f>IF($B17="","",IFERROR(INDEX('Типы элементов'!$G:$G,MATCH($B17,'Типы элементов'!$B:$B,0)),""))</f>
        <v/>
      </c>
      <c r="H17" s="6" t="str">
        <f>IF($B17="","",IFERROR(INDEX('Типы элементов'!$H:$H,MATCH($B17,'Типы элементов'!$B:$B,0)),""))</f>
        <v/>
      </c>
      <c r="I17" s="6" t="str">
        <f>IF($B17="","",IFERROR(INDEX('Типы элементов'!$I:$I,MATCH($B17,'Типы элементов'!$B:$B,0)),""))</f>
        <v/>
      </c>
      <c r="J17" s="6" t="str">
        <f>IF($B17="","",IFERROR(INDEX('Типы элементов'!$J:$J,MATCH($B17,'Типы элементов'!$B:$B,0)),""))</f>
        <v/>
      </c>
      <c r="K17" s="6" t="str">
        <f>IF($B17="","",IFERROR(INDEX('Типы элементов'!$K:$K,MATCH($B17,'Типы элементов'!$B:$B,0)),""))</f>
        <v/>
      </c>
      <c r="L17" s="6" t="str">
        <f>IF($B17="","",IFERROR(INDEX('Типы элементов'!$L:$L,MATCH($B17,'Типы элементов'!$B:$B,0)),""))</f>
        <v/>
      </c>
      <c r="M17" s="6" t="str">
        <f>IF($B17="","",IFERROR(INDEX('Типы элементов'!$M:$M,MATCH($B17,'Типы элементов'!$B:$B,0)),""))</f>
        <v/>
      </c>
      <c r="N17" s="6" t="str">
        <f>IF($B17="","",IFERROR(INDEX('Типы элементов'!$N:$N,MATCH($B17,'Типы элементов'!$B:$B,0)),""))</f>
        <v/>
      </c>
      <c r="O17" s="6" t="str">
        <f>IF($B17="","",IFERROR(INDEX('Типы элементов'!$O:$O,MATCH($B17,'Типы элементов'!$B:$B,0)),""))</f>
        <v/>
      </c>
      <c r="P17" s="6" t="str">
        <f>IF($B17="","",IFERROR(INDEX('Типы элементов'!$P:$P,MATCH($B17,'Типы элементов'!$B:$B,0)),""))</f>
        <v/>
      </c>
    </row>
    <row r="18" spans="1:16">
      <c r="A18" s="6">
        <v>17</v>
      </c>
      <c r="B18" s="6"/>
      <c r="C18" s="6" t="str">
        <f>IF($B18="","",IFERROR(INDEX('Типы элементов'!$C:$C,MATCH($B18,'Типы элементов'!$B:$B,0)),""))</f>
        <v/>
      </c>
      <c r="D18" s="6" t="str">
        <f>IF($B18="","",IFERROR(INDEX('Типы элементов'!$D:$D,MATCH($B18,'Типы элементов'!$B:$B,0)),""))</f>
        <v/>
      </c>
      <c r="E18" s="6" t="str">
        <f>IF($B18="","",IFERROR(INDEX('Типы элементов'!$E:$E,MATCH($B18,'Типы элементов'!$B:$B,0)),""))</f>
        <v/>
      </c>
      <c r="F18" s="6" t="str">
        <f>IF($B18="","",IFERROR(INDEX('Типы элементов'!$F:$F,MATCH($B18,'Типы элементов'!$B:$B,0)),""))</f>
        <v/>
      </c>
      <c r="G18" s="6" t="str">
        <f>IF($B18="","",IFERROR(INDEX('Типы элементов'!$G:$G,MATCH($B18,'Типы элементов'!$B:$B,0)),""))</f>
        <v/>
      </c>
      <c r="H18" s="6" t="str">
        <f>IF($B18="","",IFERROR(INDEX('Типы элементов'!$H:$H,MATCH($B18,'Типы элементов'!$B:$B,0)),""))</f>
        <v/>
      </c>
      <c r="I18" s="6" t="str">
        <f>IF($B18="","",IFERROR(INDEX('Типы элементов'!$I:$I,MATCH($B18,'Типы элементов'!$B:$B,0)),""))</f>
        <v/>
      </c>
      <c r="J18" s="6" t="str">
        <f>IF($B18="","",IFERROR(INDEX('Типы элементов'!$J:$J,MATCH($B18,'Типы элементов'!$B:$B,0)),""))</f>
        <v/>
      </c>
      <c r="K18" s="6" t="str">
        <f>IF($B18="","",IFERROR(INDEX('Типы элементов'!$K:$K,MATCH($B18,'Типы элементов'!$B:$B,0)),""))</f>
        <v/>
      </c>
      <c r="L18" s="6" t="str">
        <f>IF($B18="","",IFERROR(INDEX('Типы элементов'!$L:$L,MATCH($B18,'Типы элементов'!$B:$B,0)),""))</f>
        <v/>
      </c>
      <c r="M18" s="6" t="str">
        <f>IF($B18="","",IFERROR(INDEX('Типы элементов'!$M:$M,MATCH($B18,'Типы элементов'!$B:$B,0)),""))</f>
        <v/>
      </c>
      <c r="N18" s="6" t="str">
        <f>IF($B18="","",IFERROR(INDEX('Типы элементов'!$N:$N,MATCH($B18,'Типы элементов'!$B:$B,0)),""))</f>
        <v/>
      </c>
      <c r="O18" s="6" t="str">
        <f>IF($B18="","",IFERROR(INDEX('Типы элементов'!$O:$O,MATCH($B18,'Типы элементов'!$B:$B,0)),""))</f>
        <v/>
      </c>
      <c r="P18" s="6" t="str">
        <f>IF($B18="","",IFERROR(INDEX('Типы элементов'!$P:$P,MATCH($B18,'Типы элементов'!$B:$B,0)),""))</f>
        <v/>
      </c>
    </row>
    <row r="19" spans="1:16">
      <c r="A19" s="6">
        <v>18</v>
      </c>
      <c r="B19" s="6"/>
      <c r="C19" s="6" t="str">
        <f>IF($B19="","",IFERROR(INDEX('Типы элементов'!$C:$C,MATCH($B19,'Типы элементов'!$B:$B,0)),""))</f>
        <v/>
      </c>
      <c r="D19" s="6" t="str">
        <f>IF($B19="","",IFERROR(INDEX('Типы элементов'!$D:$D,MATCH($B19,'Типы элементов'!$B:$B,0)),""))</f>
        <v/>
      </c>
      <c r="E19" s="6" t="str">
        <f>IF($B19="","",IFERROR(INDEX('Типы элементов'!$E:$E,MATCH($B19,'Типы элементов'!$B:$B,0)),""))</f>
        <v/>
      </c>
      <c r="F19" s="6" t="str">
        <f>IF($B19="","",IFERROR(INDEX('Типы элементов'!$F:$F,MATCH($B19,'Типы элементов'!$B:$B,0)),""))</f>
        <v/>
      </c>
      <c r="G19" s="6" t="str">
        <f>IF($B19="","",IFERROR(INDEX('Типы элементов'!$G:$G,MATCH($B19,'Типы элементов'!$B:$B,0)),""))</f>
        <v/>
      </c>
      <c r="H19" s="6" t="str">
        <f>IF($B19="","",IFERROR(INDEX('Типы элементов'!$H:$H,MATCH($B19,'Типы элементов'!$B:$B,0)),""))</f>
        <v/>
      </c>
      <c r="I19" s="6" t="str">
        <f>IF($B19="","",IFERROR(INDEX('Типы элементов'!$I:$I,MATCH($B19,'Типы элементов'!$B:$B,0)),""))</f>
        <v/>
      </c>
      <c r="J19" s="6" t="str">
        <f>IF($B19="","",IFERROR(INDEX('Типы элементов'!$J:$J,MATCH($B19,'Типы элементов'!$B:$B,0)),""))</f>
        <v/>
      </c>
      <c r="K19" s="6" t="str">
        <f>IF($B19="","",IFERROR(INDEX('Типы элементов'!$K:$K,MATCH($B19,'Типы элементов'!$B:$B,0)),""))</f>
        <v/>
      </c>
      <c r="L19" s="6" t="str">
        <f>IF($B19="","",IFERROR(INDEX('Типы элементов'!$L:$L,MATCH($B19,'Типы элементов'!$B:$B,0)),""))</f>
        <v/>
      </c>
      <c r="M19" s="6" t="str">
        <f>IF($B19="","",IFERROR(INDEX('Типы элементов'!$M:$M,MATCH($B19,'Типы элементов'!$B:$B,0)),""))</f>
        <v/>
      </c>
      <c r="N19" s="6" t="str">
        <f>IF($B19="","",IFERROR(INDEX('Типы элементов'!$N:$N,MATCH($B19,'Типы элементов'!$B:$B,0)),""))</f>
        <v/>
      </c>
      <c r="O19" s="6" t="str">
        <f>IF($B19="","",IFERROR(INDEX('Типы элементов'!$O:$O,MATCH($B19,'Типы элементов'!$B:$B,0)),""))</f>
        <v/>
      </c>
      <c r="P19" s="6" t="str">
        <f>IF($B19="","",IFERROR(INDEX('Типы элементов'!$P:$P,MATCH($B19,'Типы элементов'!$B:$B,0)),""))</f>
        <v/>
      </c>
    </row>
    <row r="20" spans="1:16">
      <c r="A20" s="6">
        <v>19</v>
      </c>
      <c r="B20" s="6"/>
      <c r="C20" s="6" t="str">
        <f>IF($B20="","",IFERROR(INDEX('Типы элементов'!$C:$C,MATCH($B20,'Типы элементов'!$B:$B,0)),""))</f>
        <v/>
      </c>
      <c r="D20" s="6" t="str">
        <f>IF($B20="","",IFERROR(INDEX('Типы элементов'!$D:$D,MATCH($B20,'Типы элементов'!$B:$B,0)),""))</f>
        <v/>
      </c>
      <c r="E20" s="6" t="str">
        <f>IF($B20="","",IFERROR(INDEX('Типы элементов'!$E:$E,MATCH($B20,'Типы элементов'!$B:$B,0)),""))</f>
        <v/>
      </c>
      <c r="F20" s="6" t="str">
        <f>IF($B20="","",IFERROR(INDEX('Типы элементов'!$F:$F,MATCH($B20,'Типы элементов'!$B:$B,0)),""))</f>
        <v/>
      </c>
      <c r="G20" s="6" t="str">
        <f>IF($B20="","",IFERROR(INDEX('Типы элементов'!$G:$G,MATCH($B20,'Типы элементов'!$B:$B,0)),""))</f>
        <v/>
      </c>
      <c r="H20" s="6" t="str">
        <f>IF($B20="","",IFERROR(INDEX('Типы элементов'!$H:$H,MATCH($B20,'Типы элементов'!$B:$B,0)),""))</f>
        <v/>
      </c>
      <c r="I20" s="6" t="str">
        <f>IF($B20="","",IFERROR(INDEX('Типы элементов'!$I:$I,MATCH($B20,'Типы элементов'!$B:$B,0)),""))</f>
        <v/>
      </c>
      <c r="J20" s="6" t="str">
        <f>IF($B20="","",IFERROR(INDEX('Типы элементов'!$J:$J,MATCH($B20,'Типы элементов'!$B:$B,0)),""))</f>
        <v/>
      </c>
      <c r="K20" s="6" t="str">
        <f>IF($B20="","",IFERROR(INDEX('Типы элементов'!$K:$K,MATCH($B20,'Типы элементов'!$B:$B,0)),""))</f>
        <v/>
      </c>
      <c r="L20" s="6" t="str">
        <f>IF($B20="","",IFERROR(INDEX('Типы элементов'!$L:$L,MATCH($B20,'Типы элементов'!$B:$B,0)),""))</f>
        <v/>
      </c>
      <c r="M20" s="6" t="str">
        <f>IF($B20="","",IFERROR(INDEX('Типы элементов'!$M:$M,MATCH($B20,'Типы элементов'!$B:$B,0)),""))</f>
        <v/>
      </c>
      <c r="N20" s="6" t="str">
        <f>IF($B20="","",IFERROR(INDEX('Типы элементов'!$N:$N,MATCH($B20,'Типы элементов'!$B:$B,0)),""))</f>
        <v/>
      </c>
      <c r="O20" s="6" t="str">
        <f>IF($B20="","",IFERROR(INDEX('Типы элементов'!$O:$O,MATCH($B20,'Типы элементов'!$B:$B,0)),""))</f>
        <v/>
      </c>
      <c r="P20" s="6" t="str">
        <f>IF($B20="","",IFERROR(INDEX('Типы элементов'!$P:$P,MATCH($B20,'Типы элементов'!$B:$B,0)),""))</f>
        <v/>
      </c>
    </row>
    <row r="21" spans="1:16">
      <c r="A21" s="6">
        <v>20</v>
      </c>
      <c r="B21" s="6"/>
      <c r="C21" s="6" t="str">
        <f>IF($B21="","",IFERROR(INDEX('Типы элементов'!$C:$C,MATCH($B21,'Типы элементов'!$B:$B,0)),""))</f>
        <v/>
      </c>
      <c r="D21" s="6" t="str">
        <f>IF($B21="","",IFERROR(INDEX('Типы элементов'!$D:$D,MATCH($B21,'Типы элементов'!$B:$B,0)),""))</f>
        <v/>
      </c>
      <c r="E21" s="6" t="str">
        <f>IF($B21="","",IFERROR(INDEX('Типы элементов'!$E:$E,MATCH($B21,'Типы элементов'!$B:$B,0)),""))</f>
        <v/>
      </c>
      <c r="F21" s="6" t="str">
        <f>IF($B21="","",IFERROR(INDEX('Типы элементов'!$F:$F,MATCH($B21,'Типы элементов'!$B:$B,0)),""))</f>
        <v/>
      </c>
      <c r="G21" s="6" t="str">
        <f>IF($B21="","",IFERROR(INDEX('Типы элементов'!$G:$G,MATCH($B21,'Типы элементов'!$B:$B,0)),""))</f>
        <v/>
      </c>
      <c r="H21" s="6" t="str">
        <f>IF($B21="","",IFERROR(INDEX('Типы элементов'!$H:$H,MATCH($B21,'Типы элементов'!$B:$B,0)),""))</f>
        <v/>
      </c>
      <c r="I21" s="6" t="str">
        <f>IF($B21="","",IFERROR(INDEX('Типы элементов'!$I:$I,MATCH($B21,'Типы элементов'!$B:$B,0)),""))</f>
        <v/>
      </c>
      <c r="J21" s="6" t="str">
        <f>IF($B21="","",IFERROR(INDEX('Типы элементов'!$J:$J,MATCH($B21,'Типы элементов'!$B:$B,0)),""))</f>
        <v/>
      </c>
      <c r="K21" s="6" t="str">
        <f>IF($B21="","",IFERROR(INDEX('Типы элементов'!$K:$K,MATCH($B21,'Типы элементов'!$B:$B,0)),""))</f>
        <v/>
      </c>
      <c r="L21" s="6" t="str">
        <f>IF($B21="","",IFERROR(INDEX('Типы элементов'!$L:$L,MATCH($B21,'Типы элементов'!$B:$B,0)),""))</f>
        <v/>
      </c>
      <c r="M21" s="6" t="str">
        <f>IF($B21="","",IFERROR(INDEX('Типы элементов'!$M:$M,MATCH($B21,'Типы элементов'!$B:$B,0)),""))</f>
        <v/>
      </c>
      <c r="N21" s="6" t="str">
        <f>IF($B21="","",IFERROR(INDEX('Типы элементов'!$N:$N,MATCH($B21,'Типы элементов'!$B:$B,0)),""))</f>
        <v/>
      </c>
      <c r="O21" s="6" t="str">
        <f>IF($B21="","",IFERROR(INDEX('Типы элементов'!$O:$O,MATCH($B21,'Типы элементов'!$B:$B,0)),""))</f>
        <v/>
      </c>
      <c r="P21" s="6" t="str">
        <f>IF($B21="","",IFERROR(INDEX('Типы элементов'!$P:$P,MATCH($B21,'Типы элементов'!$B:$B,0)),""))</f>
        <v/>
      </c>
    </row>
    <row r="22" spans="1:16">
      <c r="A22" s="6">
        <v>21</v>
      </c>
      <c r="B22" s="6"/>
      <c r="C22" s="6" t="str">
        <f>IF($B22="","",IFERROR(INDEX('Типы элементов'!$C:$C,MATCH($B22,'Типы элементов'!$B:$B,0)),""))</f>
        <v/>
      </c>
      <c r="D22" s="6" t="str">
        <f>IF($B22="","",IFERROR(INDEX('Типы элементов'!$D:$D,MATCH($B22,'Типы элементов'!$B:$B,0)),""))</f>
        <v/>
      </c>
      <c r="E22" s="6" t="str">
        <f>IF($B22="","",IFERROR(INDEX('Типы элементов'!$E:$E,MATCH($B22,'Типы элементов'!$B:$B,0)),""))</f>
        <v/>
      </c>
      <c r="F22" s="6" t="str">
        <f>IF($B22="","",IFERROR(INDEX('Типы элементов'!$F:$F,MATCH($B22,'Типы элементов'!$B:$B,0)),""))</f>
        <v/>
      </c>
      <c r="G22" s="6" t="str">
        <f>IF($B22="","",IFERROR(INDEX('Типы элементов'!$G:$G,MATCH($B22,'Типы элементов'!$B:$B,0)),""))</f>
        <v/>
      </c>
      <c r="H22" s="6" t="str">
        <f>IF($B22="","",IFERROR(INDEX('Типы элементов'!$H:$H,MATCH($B22,'Типы элементов'!$B:$B,0)),""))</f>
        <v/>
      </c>
      <c r="I22" s="6" t="str">
        <f>IF($B22="","",IFERROR(INDEX('Типы элементов'!$I:$I,MATCH($B22,'Типы элементов'!$B:$B,0)),""))</f>
        <v/>
      </c>
      <c r="J22" s="6" t="str">
        <f>IF($B22="","",IFERROR(INDEX('Типы элементов'!$J:$J,MATCH($B22,'Типы элементов'!$B:$B,0)),""))</f>
        <v/>
      </c>
      <c r="K22" s="6" t="str">
        <f>IF($B22="","",IFERROR(INDEX('Типы элементов'!$K:$K,MATCH($B22,'Типы элементов'!$B:$B,0)),""))</f>
        <v/>
      </c>
      <c r="L22" s="6" t="str">
        <f>IF($B22="","",IFERROR(INDEX('Типы элементов'!$L:$L,MATCH($B22,'Типы элементов'!$B:$B,0)),""))</f>
        <v/>
      </c>
      <c r="M22" s="6" t="str">
        <f>IF($B22="","",IFERROR(INDEX('Типы элементов'!$M:$M,MATCH($B22,'Типы элементов'!$B:$B,0)),""))</f>
        <v/>
      </c>
      <c r="N22" s="6" t="str">
        <f>IF($B22="","",IFERROR(INDEX('Типы элементов'!$N:$N,MATCH($B22,'Типы элементов'!$B:$B,0)),""))</f>
        <v/>
      </c>
      <c r="O22" s="6" t="str">
        <f>IF($B22="","",IFERROR(INDEX('Типы элементов'!$O:$O,MATCH($B22,'Типы элементов'!$B:$B,0)),""))</f>
        <v/>
      </c>
      <c r="P22" s="6" t="str">
        <f>IF($B22="","",IFERROR(INDEX('Типы элементов'!$P:$P,MATCH($B22,'Типы элементов'!$B:$B,0)),""))</f>
        <v/>
      </c>
    </row>
    <row r="23" spans="1:16">
      <c r="A23" s="6">
        <v>22</v>
      </c>
      <c r="B23" s="6"/>
      <c r="C23" s="6" t="str">
        <f>IF($B23="","",IFERROR(INDEX('Типы элементов'!$C:$C,MATCH($B23,'Типы элементов'!$B:$B,0)),""))</f>
        <v/>
      </c>
      <c r="D23" s="6" t="str">
        <f>IF($B23="","",IFERROR(INDEX('Типы элементов'!$D:$D,MATCH($B23,'Типы элементов'!$B:$B,0)),""))</f>
        <v/>
      </c>
      <c r="E23" s="6" t="str">
        <f>IF($B23="","",IFERROR(INDEX('Типы элементов'!$E:$E,MATCH($B23,'Типы элементов'!$B:$B,0)),""))</f>
        <v/>
      </c>
      <c r="F23" s="6" t="str">
        <f>IF($B23="","",IFERROR(INDEX('Типы элементов'!$F:$F,MATCH($B23,'Типы элементов'!$B:$B,0)),""))</f>
        <v/>
      </c>
      <c r="G23" s="6" t="str">
        <f>IF($B23="","",IFERROR(INDEX('Типы элементов'!$G:$G,MATCH($B23,'Типы элементов'!$B:$B,0)),""))</f>
        <v/>
      </c>
      <c r="H23" s="6" t="str">
        <f>IF($B23="","",IFERROR(INDEX('Типы элементов'!$H:$H,MATCH($B23,'Типы элементов'!$B:$B,0)),""))</f>
        <v/>
      </c>
      <c r="I23" s="6" t="str">
        <f>IF($B23="","",IFERROR(INDEX('Типы элементов'!$I:$I,MATCH($B23,'Типы элементов'!$B:$B,0)),""))</f>
        <v/>
      </c>
      <c r="J23" s="6" t="str">
        <f>IF($B23="","",IFERROR(INDEX('Типы элементов'!$J:$J,MATCH($B23,'Типы элементов'!$B:$B,0)),""))</f>
        <v/>
      </c>
      <c r="K23" s="6" t="str">
        <f>IF($B23="","",IFERROR(INDEX('Типы элементов'!$K:$K,MATCH($B23,'Типы элементов'!$B:$B,0)),""))</f>
        <v/>
      </c>
      <c r="L23" s="6" t="str">
        <f>IF($B23="","",IFERROR(INDEX('Типы элементов'!$L:$L,MATCH($B23,'Типы элементов'!$B:$B,0)),""))</f>
        <v/>
      </c>
      <c r="M23" s="6" t="str">
        <f>IF($B23="","",IFERROR(INDEX('Типы элементов'!$M:$M,MATCH($B23,'Типы элементов'!$B:$B,0)),""))</f>
        <v/>
      </c>
      <c r="N23" s="6" t="str">
        <f>IF($B23="","",IFERROR(INDEX('Типы элементов'!$N:$N,MATCH($B23,'Типы элементов'!$B:$B,0)),""))</f>
        <v/>
      </c>
      <c r="O23" s="6" t="str">
        <f>IF($B23="","",IFERROR(INDEX('Типы элементов'!$O:$O,MATCH($B23,'Типы элементов'!$B:$B,0)),""))</f>
        <v/>
      </c>
      <c r="P23" s="6" t="str">
        <f>IF($B23="","",IFERROR(INDEX('Типы элементов'!$P:$P,MATCH($B23,'Типы элементов'!$B:$B,0)),""))</f>
        <v/>
      </c>
    </row>
    <row r="24" spans="1:16">
      <c r="A24" s="6">
        <v>23</v>
      </c>
      <c r="B24" s="6"/>
      <c r="C24" s="6" t="str">
        <f>IF($B24="","",IFERROR(INDEX('Типы элементов'!$C:$C,MATCH($B24,'Типы элементов'!$B:$B,0)),""))</f>
        <v/>
      </c>
      <c r="D24" s="6" t="str">
        <f>IF($B24="","",IFERROR(INDEX('Типы элементов'!$D:$D,MATCH($B24,'Типы элементов'!$B:$B,0)),""))</f>
        <v/>
      </c>
      <c r="E24" s="6" t="str">
        <f>IF($B24="","",IFERROR(INDEX('Типы элементов'!$E:$E,MATCH($B24,'Типы элементов'!$B:$B,0)),""))</f>
        <v/>
      </c>
      <c r="F24" s="6" t="str">
        <f>IF($B24="","",IFERROR(INDEX('Типы элементов'!$F:$F,MATCH($B24,'Типы элементов'!$B:$B,0)),""))</f>
        <v/>
      </c>
      <c r="G24" s="6" t="str">
        <f>IF($B24="","",IFERROR(INDEX('Типы элементов'!$G:$G,MATCH($B24,'Типы элементов'!$B:$B,0)),""))</f>
        <v/>
      </c>
      <c r="H24" s="6" t="str">
        <f>IF($B24="","",IFERROR(INDEX('Типы элементов'!$H:$H,MATCH($B24,'Типы элементов'!$B:$B,0)),""))</f>
        <v/>
      </c>
      <c r="I24" s="6" t="str">
        <f>IF($B24="","",IFERROR(INDEX('Типы элементов'!$I:$I,MATCH($B24,'Типы элементов'!$B:$B,0)),""))</f>
        <v/>
      </c>
      <c r="J24" s="6" t="str">
        <f>IF($B24="","",IFERROR(INDEX('Типы элементов'!$J:$J,MATCH($B24,'Типы элементов'!$B:$B,0)),""))</f>
        <v/>
      </c>
      <c r="K24" s="6" t="str">
        <f>IF($B24="","",IFERROR(INDEX('Типы элементов'!$K:$K,MATCH($B24,'Типы элементов'!$B:$B,0)),""))</f>
        <v/>
      </c>
      <c r="L24" s="6" t="str">
        <f>IF($B24="","",IFERROR(INDEX('Типы элементов'!$L:$L,MATCH($B24,'Типы элементов'!$B:$B,0)),""))</f>
        <v/>
      </c>
      <c r="M24" s="6" t="str">
        <f>IF($B24="","",IFERROR(INDEX('Типы элементов'!$M:$M,MATCH($B24,'Типы элементов'!$B:$B,0)),""))</f>
        <v/>
      </c>
      <c r="N24" s="6" t="str">
        <f>IF($B24="","",IFERROR(INDEX('Типы элементов'!$N:$N,MATCH($B24,'Типы элементов'!$B:$B,0)),""))</f>
        <v/>
      </c>
      <c r="O24" s="6" t="str">
        <f>IF($B24="","",IFERROR(INDEX('Типы элементов'!$O:$O,MATCH($B24,'Типы элементов'!$B:$B,0)),""))</f>
        <v/>
      </c>
      <c r="P24" s="6" t="str">
        <f>IF($B24="","",IFERROR(INDEX('Типы элементов'!$P:$P,MATCH($B24,'Типы элементов'!$B:$B,0)),""))</f>
        <v/>
      </c>
    </row>
    <row r="25" spans="1:16">
      <c r="A25" s="6">
        <v>24</v>
      </c>
      <c r="B25" s="6"/>
      <c r="C25" s="6" t="str">
        <f>IF($B25="","",IFERROR(INDEX('Типы элементов'!$C:$C,MATCH($B25,'Типы элементов'!$B:$B,0)),""))</f>
        <v/>
      </c>
      <c r="D25" s="6" t="str">
        <f>IF($B25="","",IFERROR(INDEX('Типы элементов'!$D:$D,MATCH($B25,'Типы элементов'!$B:$B,0)),""))</f>
        <v/>
      </c>
      <c r="E25" s="6" t="str">
        <f>IF($B25="","",IFERROR(INDEX('Типы элементов'!$E:$E,MATCH($B25,'Типы элементов'!$B:$B,0)),""))</f>
        <v/>
      </c>
      <c r="F25" s="6" t="str">
        <f>IF($B25="","",IFERROR(INDEX('Типы элементов'!$F:$F,MATCH($B25,'Типы элементов'!$B:$B,0)),""))</f>
        <v/>
      </c>
      <c r="G25" s="6" t="str">
        <f>IF($B25="","",IFERROR(INDEX('Типы элементов'!$G:$G,MATCH($B25,'Типы элементов'!$B:$B,0)),""))</f>
        <v/>
      </c>
      <c r="H25" s="6" t="str">
        <f>IF($B25="","",IFERROR(INDEX('Типы элементов'!$H:$H,MATCH($B25,'Типы элементов'!$B:$B,0)),""))</f>
        <v/>
      </c>
      <c r="I25" s="6" t="str">
        <f>IF($B25="","",IFERROR(INDEX('Типы элементов'!$I:$I,MATCH($B25,'Типы элементов'!$B:$B,0)),""))</f>
        <v/>
      </c>
      <c r="J25" s="6" t="str">
        <f>IF($B25="","",IFERROR(INDEX('Типы элементов'!$J:$J,MATCH($B25,'Типы элементов'!$B:$B,0)),""))</f>
        <v/>
      </c>
      <c r="K25" s="6" t="str">
        <f>IF($B25="","",IFERROR(INDEX('Типы элементов'!$K:$K,MATCH($B25,'Типы элементов'!$B:$B,0)),""))</f>
        <v/>
      </c>
      <c r="L25" s="6" t="str">
        <f>IF($B25="","",IFERROR(INDEX('Типы элементов'!$L:$L,MATCH($B25,'Типы элементов'!$B:$B,0)),""))</f>
        <v/>
      </c>
      <c r="M25" s="6" t="str">
        <f>IF($B25="","",IFERROR(INDEX('Типы элементов'!$M:$M,MATCH($B25,'Типы элементов'!$B:$B,0)),""))</f>
        <v/>
      </c>
      <c r="N25" s="6" t="str">
        <f>IF($B25="","",IFERROR(INDEX('Типы элементов'!$N:$N,MATCH($B25,'Типы элементов'!$B:$B,0)),""))</f>
        <v/>
      </c>
      <c r="O25" s="6" t="str">
        <f>IF($B25="","",IFERROR(INDEX('Типы элементов'!$O:$O,MATCH($B25,'Типы элементов'!$B:$B,0)),""))</f>
        <v/>
      </c>
      <c r="P25" s="6" t="str">
        <f>IF($B25="","",IFERROR(INDEX('Типы элементов'!$P:$P,MATCH($B25,'Типы элементов'!$B:$B,0)),""))</f>
        <v/>
      </c>
    </row>
    <row r="26" spans="1:16">
      <c r="A26" s="6">
        <v>25</v>
      </c>
      <c r="B26" s="6"/>
      <c r="C26" s="6" t="str">
        <f>IF($B26="","",IFERROR(INDEX('Типы элементов'!$C:$C,MATCH($B26,'Типы элементов'!$B:$B,0)),""))</f>
        <v/>
      </c>
      <c r="D26" s="6" t="str">
        <f>IF($B26="","",IFERROR(INDEX('Типы элементов'!$D:$D,MATCH($B26,'Типы элементов'!$B:$B,0)),""))</f>
        <v/>
      </c>
      <c r="E26" s="6" t="str">
        <f>IF($B26="","",IFERROR(INDEX('Типы элементов'!$E:$E,MATCH($B26,'Типы элементов'!$B:$B,0)),""))</f>
        <v/>
      </c>
      <c r="F26" s="6" t="str">
        <f>IF($B26="","",IFERROR(INDEX('Типы элементов'!$F:$F,MATCH($B26,'Типы элементов'!$B:$B,0)),""))</f>
        <v/>
      </c>
      <c r="G26" s="6" t="str">
        <f>IF($B26="","",IFERROR(INDEX('Типы элементов'!$G:$G,MATCH($B26,'Типы элементов'!$B:$B,0)),""))</f>
        <v/>
      </c>
      <c r="H26" s="6" t="str">
        <f>IF($B26="","",IFERROR(INDEX('Типы элементов'!$H:$H,MATCH($B26,'Типы элементов'!$B:$B,0)),""))</f>
        <v/>
      </c>
      <c r="I26" s="6" t="str">
        <f>IF($B26="","",IFERROR(INDEX('Типы элементов'!$I:$I,MATCH($B26,'Типы элементов'!$B:$B,0)),""))</f>
        <v/>
      </c>
      <c r="J26" s="6" t="str">
        <f>IF($B26="","",IFERROR(INDEX('Типы элементов'!$J:$J,MATCH($B26,'Типы элементов'!$B:$B,0)),""))</f>
        <v/>
      </c>
      <c r="K26" s="6" t="str">
        <f>IF($B26="","",IFERROR(INDEX('Типы элементов'!$K:$K,MATCH($B26,'Типы элементов'!$B:$B,0)),""))</f>
        <v/>
      </c>
      <c r="L26" s="6" t="str">
        <f>IF($B26="","",IFERROR(INDEX('Типы элементов'!$L:$L,MATCH($B26,'Типы элементов'!$B:$B,0)),""))</f>
        <v/>
      </c>
      <c r="M26" s="6" t="str">
        <f>IF($B26="","",IFERROR(INDEX('Типы элементов'!$M:$M,MATCH($B26,'Типы элементов'!$B:$B,0)),""))</f>
        <v/>
      </c>
      <c r="N26" s="6" t="str">
        <f>IF($B26="","",IFERROR(INDEX('Типы элементов'!$N:$N,MATCH($B26,'Типы элементов'!$B:$B,0)),""))</f>
        <v/>
      </c>
      <c r="O26" s="6" t="str">
        <f>IF($B26="","",IFERROR(INDEX('Типы элементов'!$O:$O,MATCH($B26,'Типы элементов'!$B:$B,0)),""))</f>
        <v/>
      </c>
      <c r="P26" s="6" t="str">
        <f>IF($B26="","",IFERROR(INDEX('Типы элементов'!$P:$P,MATCH($B26,'Типы элементов'!$B:$B,0)),""))</f>
        <v/>
      </c>
    </row>
    <row r="27" spans="1:16">
      <c r="A27" s="6">
        <v>26</v>
      </c>
      <c r="B27" s="6"/>
      <c r="C27" s="6" t="str">
        <f>IF($B27="","",IFERROR(INDEX('Типы элементов'!$C:$C,MATCH($B27,'Типы элементов'!$B:$B,0)),""))</f>
        <v/>
      </c>
      <c r="D27" s="6" t="str">
        <f>IF($B27="","",IFERROR(INDEX('Типы элементов'!$D:$D,MATCH($B27,'Типы элементов'!$B:$B,0)),""))</f>
        <v/>
      </c>
      <c r="E27" s="6" t="str">
        <f>IF($B27="","",IFERROR(INDEX('Типы элементов'!$E:$E,MATCH($B27,'Типы элементов'!$B:$B,0)),""))</f>
        <v/>
      </c>
      <c r="F27" s="6" t="str">
        <f>IF($B27="","",IFERROR(INDEX('Типы элементов'!$F:$F,MATCH($B27,'Типы элементов'!$B:$B,0)),""))</f>
        <v/>
      </c>
      <c r="G27" s="6" t="str">
        <f>IF($B27="","",IFERROR(INDEX('Типы элементов'!$G:$G,MATCH($B27,'Типы элементов'!$B:$B,0)),""))</f>
        <v/>
      </c>
      <c r="H27" s="6" t="str">
        <f>IF($B27="","",IFERROR(INDEX('Типы элементов'!$H:$H,MATCH($B27,'Типы элементов'!$B:$B,0)),""))</f>
        <v/>
      </c>
      <c r="I27" s="6" t="str">
        <f>IF($B27="","",IFERROR(INDEX('Типы элементов'!$I:$I,MATCH($B27,'Типы элементов'!$B:$B,0)),""))</f>
        <v/>
      </c>
      <c r="J27" s="6" t="str">
        <f>IF($B27="","",IFERROR(INDEX('Типы элементов'!$J:$J,MATCH($B27,'Типы элементов'!$B:$B,0)),""))</f>
        <v/>
      </c>
      <c r="K27" s="6" t="str">
        <f>IF($B27="","",IFERROR(INDEX('Типы элементов'!$K:$K,MATCH($B27,'Типы элементов'!$B:$B,0)),""))</f>
        <v/>
      </c>
      <c r="L27" s="6" t="str">
        <f>IF($B27="","",IFERROR(INDEX('Типы элементов'!$L:$L,MATCH($B27,'Типы элементов'!$B:$B,0)),""))</f>
        <v/>
      </c>
      <c r="M27" s="6" t="str">
        <f>IF($B27="","",IFERROR(INDEX('Типы элементов'!$M:$M,MATCH($B27,'Типы элементов'!$B:$B,0)),""))</f>
        <v/>
      </c>
      <c r="N27" s="6" t="str">
        <f>IF($B27="","",IFERROR(INDEX('Типы элементов'!$N:$N,MATCH($B27,'Типы элементов'!$B:$B,0)),""))</f>
        <v/>
      </c>
      <c r="O27" s="6" t="str">
        <f>IF($B27="","",IFERROR(INDEX('Типы элементов'!$O:$O,MATCH($B27,'Типы элементов'!$B:$B,0)),""))</f>
        <v/>
      </c>
      <c r="P27" s="6" t="str">
        <f>IF($B27="","",IFERROR(INDEX('Типы элементов'!$P:$P,MATCH($B27,'Типы элементов'!$B:$B,0)),""))</f>
        <v/>
      </c>
    </row>
    <row r="28" spans="1:16">
      <c r="A28" s="6">
        <v>27</v>
      </c>
      <c r="B28" s="6"/>
      <c r="C28" s="6" t="str">
        <f>IF($B28="","",IFERROR(INDEX('Типы элементов'!$C:$C,MATCH($B28,'Типы элементов'!$B:$B,0)),""))</f>
        <v/>
      </c>
      <c r="D28" s="6" t="str">
        <f>IF($B28="","",IFERROR(INDEX('Типы элементов'!$D:$D,MATCH($B28,'Типы элементов'!$B:$B,0)),""))</f>
        <v/>
      </c>
      <c r="E28" s="6" t="str">
        <f>IF($B28="","",IFERROR(INDEX('Типы элементов'!$E:$E,MATCH($B28,'Типы элементов'!$B:$B,0)),""))</f>
        <v/>
      </c>
      <c r="F28" s="6" t="str">
        <f>IF($B28="","",IFERROR(INDEX('Типы элементов'!$F:$F,MATCH($B28,'Типы элементов'!$B:$B,0)),""))</f>
        <v/>
      </c>
      <c r="G28" s="6" t="str">
        <f>IF($B28="","",IFERROR(INDEX('Типы элементов'!$G:$G,MATCH($B28,'Типы элементов'!$B:$B,0)),""))</f>
        <v/>
      </c>
      <c r="H28" s="6" t="str">
        <f>IF($B28="","",IFERROR(INDEX('Типы элементов'!$H:$H,MATCH($B28,'Типы элементов'!$B:$B,0)),""))</f>
        <v/>
      </c>
      <c r="I28" s="6" t="str">
        <f>IF($B28="","",IFERROR(INDEX('Типы элементов'!$I:$I,MATCH($B28,'Типы элементов'!$B:$B,0)),""))</f>
        <v/>
      </c>
      <c r="J28" s="6" t="str">
        <f>IF($B28="","",IFERROR(INDEX('Типы элементов'!$J:$J,MATCH($B28,'Типы элементов'!$B:$B,0)),""))</f>
        <v/>
      </c>
      <c r="K28" s="6" t="str">
        <f>IF($B28="","",IFERROR(INDEX('Типы элементов'!$K:$K,MATCH($B28,'Типы элементов'!$B:$B,0)),""))</f>
        <v/>
      </c>
      <c r="L28" s="6" t="str">
        <f>IF($B28="","",IFERROR(INDEX('Типы элементов'!$L:$L,MATCH($B28,'Типы элементов'!$B:$B,0)),""))</f>
        <v/>
      </c>
      <c r="M28" s="6" t="str">
        <f>IF($B28="","",IFERROR(INDEX('Типы элементов'!$M:$M,MATCH($B28,'Типы элементов'!$B:$B,0)),""))</f>
        <v/>
      </c>
      <c r="N28" s="6" t="str">
        <f>IF($B28="","",IFERROR(INDEX('Типы элементов'!$N:$N,MATCH($B28,'Типы элементов'!$B:$B,0)),""))</f>
        <v/>
      </c>
      <c r="O28" s="6" t="str">
        <f>IF($B28="","",IFERROR(INDEX('Типы элементов'!$O:$O,MATCH($B28,'Типы элементов'!$B:$B,0)),""))</f>
        <v/>
      </c>
      <c r="P28" s="6" t="str">
        <f>IF($B28="","",IFERROR(INDEX('Типы элементов'!$P:$P,MATCH($B28,'Типы элементов'!$B:$B,0)),""))</f>
        <v/>
      </c>
    </row>
    <row r="29" spans="1:16">
      <c r="A29" s="6">
        <v>28</v>
      </c>
      <c r="B29" s="6"/>
      <c r="C29" s="6" t="str">
        <f>IF($B29="","",IFERROR(INDEX('Типы элементов'!$C:$C,MATCH($B29,'Типы элементов'!$B:$B,0)),""))</f>
        <v/>
      </c>
      <c r="D29" s="6" t="str">
        <f>IF($B29="","",IFERROR(INDEX('Типы элементов'!$D:$D,MATCH($B29,'Типы элементов'!$B:$B,0)),""))</f>
        <v/>
      </c>
      <c r="E29" s="6" t="str">
        <f>IF($B29="","",IFERROR(INDEX('Типы элементов'!$E:$E,MATCH($B29,'Типы элементов'!$B:$B,0)),""))</f>
        <v/>
      </c>
      <c r="F29" s="6" t="str">
        <f>IF($B29="","",IFERROR(INDEX('Типы элементов'!$F:$F,MATCH($B29,'Типы элементов'!$B:$B,0)),""))</f>
        <v/>
      </c>
      <c r="G29" s="6" t="str">
        <f>IF($B29="","",IFERROR(INDEX('Типы элементов'!$G:$G,MATCH($B29,'Типы элементов'!$B:$B,0)),""))</f>
        <v/>
      </c>
      <c r="H29" s="6" t="str">
        <f>IF($B29="","",IFERROR(INDEX('Типы элементов'!$H:$H,MATCH($B29,'Типы элементов'!$B:$B,0)),""))</f>
        <v/>
      </c>
      <c r="I29" s="6" t="str">
        <f>IF($B29="","",IFERROR(INDEX('Типы элементов'!$I:$I,MATCH($B29,'Типы элементов'!$B:$B,0)),""))</f>
        <v/>
      </c>
      <c r="J29" s="6" t="str">
        <f>IF($B29="","",IFERROR(INDEX('Типы элементов'!$J:$J,MATCH($B29,'Типы элементов'!$B:$B,0)),""))</f>
        <v/>
      </c>
      <c r="K29" s="6" t="str">
        <f>IF($B29="","",IFERROR(INDEX('Типы элементов'!$K:$K,MATCH($B29,'Типы элементов'!$B:$B,0)),""))</f>
        <v/>
      </c>
      <c r="L29" s="6" t="str">
        <f>IF($B29="","",IFERROR(INDEX('Типы элементов'!$L:$L,MATCH($B29,'Типы элементов'!$B:$B,0)),""))</f>
        <v/>
      </c>
      <c r="M29" s="6" t="str">
        <f>IF($B29="","",IFERROR(INDEX('Типы элементов'!$M:$M,MATCH($B29,'Типы элементов'!$B:$B,0)),""))</f>
        <v/>
      </c>
      <c r="N29" s="6" t="str">
        <f>IF($B29="","",IFERROR(INDEX('Типы элементов'!$N:$N,MATCH($B29,'Типы элементов'!$B:$B,0)),""))</f>
        <v/>
      </c>
      <c r="O29" s="6" t="str">
        <f>IF($B29="","",IFERROR(INDEX('Типы элементов'!$O:$O,MATCH($B29,'Типы элементов'!$B:$B,0)),""))</f>
        <v/>
      </c>
      <c r="P29" s="6" t="str">
        <f>IF($B29="","",IFERROR(INDEX('Типы элементов'!$P:$P,MATCH($B29,'Типы элементов'!$B:$B,0)),""))</f>
        <v/>
      </c>
    </row>
    <row r="30" spans="1:16">
      <c r="A30" s="6">
        <v>29</v>
      </c>
      <c r="B30" s="6"/>
      <c r="C30" s="6" t="str">
        <f>IF($B30="","",IFERROR(INDEX('Типы элементов'!$C:$C,MATCH($B30,'Типы элементов'!$B:$B,0)),""))</f>
        <v/>
      </c>
      <c r="D30" s="6" t="str">
        <f>IF($B30="","",IFERROR(INDEX('Типы элементов'!$D:$D,MATCH($B30,'Типы элементов'!$B:$B,0)),""))</f>
        <v/>
      </c>
      <c r="E30" s="6" t="str">
        <f>IF($B30="","",IFERROR(INDEX('Типы элементов'!$E:$E,MATCH($B30,'Типы элементов'!$B:$B,0)),""))</f>
        <v/>
      </c>
      <c r="F30" s="6" t="str">
        <f>IF($B30="","",IFERROR(INDEX('Типы элементов'!$F:$F,MATCH($B30,'Типы элементов'!$B:$B,0)),""))</f>
        <v/>
      </c>
      <c r="G30" s="6" t="str">
        <f>IF($B30="","",IFERROR(INDEX('Типы элементов'!$G:$G,MATCH($B30,'Типы элементов'!$B:$B,0)),""))</f>
        <v/>
      </c>
      <c r="H30" s="6" t="str">
        <f>IF($B30="","",IFERROR(INDEX('Типы элементов'!$H:$H,MATCH($B30,'Типы элементов'!$B:$B,0)),""))</f>
        <v/>
      </c>
      <c r="I30" s="6" t="str">
        <f>IF($B30="","",IFERROR(INDEX('Типы элементов'!$I:$I,MATCH($B30,'Типы элементов'!$B:$B,0)),""))</f>
        <v/>
      </c>
      <c r="J30" s="6" t="str">
        <f>IF($B30="","",IFERROR(INDEX('Типы элементов'!$J:$J,MATCH($B30,'Типы элементов'!$B:$B,0)),""))</f>
        <v/>
      </c>
      <c r="K30" s="6" t="str">
        <f>IF($B30="","",IFERROR(INDEX('Типы элементов'!$K:$K,MATCH($B30,'Типы элементов'!$B:$B,0)),""))</f>
        <v/>
      </c>
      <c r="L30" s="6" t="str">
        <f>IF($B30="","",IFERROR(INDEX('Типы элементов'!$L:$L,MATCH($B30,'Типы элементов'!$B:$B,0)),""))</f>
        <v/>
      </c>
      <c r="M30" s="6" t="str">
        <f>IF($B30="","",IFERROR(INDEX('Типы элементов'!$M:$M,MATCH($B30,'Типы элементов'!$B:$B,0)),""))</f>
        <v/>
      </c>
      <c r="N30" s="6" t="str">
        <f>IF($B30="","",IFERROR(INDEX('Типы элементов'!$N:$N,MATCH($B30,'Типы элементов'!$B:$B,0)),""))</f>
        <v/>
      </c>
      <c r="O30" s="6" t="str">
        <f>IF($B30="","",IFERROR(INDEX('Типы элементов'!$O:$O,MATCH($B30,'Типы элементов'!$B:$B,0)),""))</f>
        <v/>
      </c>
      <c r="P30" s="6" t="str">
        <f>IF($B30="","",IFERROR(INDEX('Типы элементов'!$P:$P,MATCH($B30,'Типы элементов'!$B:$B,0)),""))</f>
        <v/>
      </c>
    </row>
    <row r="31" spans="1:16">
      <c r="A31" s="6">
        <v>30</v>
      </c>
      <c r="B31" s="6"/>
      <c r="C31" s="6" t="str">
        <f>IF($B31="","",IFERROR(INDEX('Типы элементов'!$C:$C,MATCH($B31,'Типы элементов'!$B:$B,0)),""))</f>
        <v/>
      </c>
      <c r="D31" s="6" t="str">
        <f>IF($B31="","",IFERROR(INDEX('Типы элементов'!$D:$D,MATCH($B31,'Типы элементов'!$B:$B,0)),""))</f>
        <v/>
      </c>
      <c r="E31" s="6" t="str">
        <f>IF($B31="","",IFERROR(INDEX('Типы элементов'!$E:$E,MATCH($B31,'Типы элементов'!$B:$B,0)),""))</f>
        <v/>
      </c>
      <c r="F31" s="6" t="str">
        <f>IF($B31="","",IFERROR(INDEX('Типы элементов'!$F:$F,MATCH($B31,'Типы элементов'!$B:$B,0)),""))</f>
        <v/>
      </c>
      <c r="G31" s="6" t="str">
        <f>IF($B31="","",IFERROR(INDEX('Типы элементов'!$G:$G,MATCH($B31,'Типы элементов'!$B:$B,0)),""))</f>
        <v/>
      </c>
      <c r="H31" s="6" t="str">
        <f>IF($B31="","",IFERROR(INDEX('Типы элементов'!$H:$H,MATCH($B31,'Типы элементов'!$B:$B,0)),""))</f>
        <v/>
      </c>
      <c r="I31" s="6" t="str">
        <f>IF($B31="","",IFERROR(INDEX('Типы элементов'!$I:$I,MATCH($B31,'Типы элементов'!$B:$B,0)),""))</f>
        <v/>
      </c>
      <c r="J31" s="6" t="str">
        <f>IF($B31="","",IFERROR(INDEX('Типы элементов'!$J:$J,MATCH($B31,'Типы элементов'!$B:$B,0)),""))</f>
        <v/>
      </c>
      <c r="K31" s="6" t="str">
        <f>IF($B31="","",IFERROR(INDEX('Типы элементов'!$K:$K,MATCH($B31,'Типы элементов'!$B:$B,0)),""))</f>
        <v/>
      </c>
      <c r="L31" s="6" t="str">
        <f>IF($B31="","",IFERROR(INDEX('Типы элементов'!$L:$L,MATCH($B31,'Типы элементов'!$B:$B,0)),""))</f>
        <v/>
      </c>
      <c r="M31" s="6" t="str">
        <f>IF($B31="","",IFERROR(INDEX('Типы элементов'!$M:$M,MATCH($B31,'Типы элементов'!$B:$B,0)),""))</f>
        <v/>
      </c>
      <c r="N31" s="6" t="str">
        <f>IF($B31="","",IFERROR(INDEX('Типы элементов'!$N:$N,MATCH($B31,'Типы элементов'!$B:$B,0)),""))</f>
        <v/>
      </c>
      <c r="O31" s="6" t="str">
        <f>IF($B31="","",IFERROR(INDEX('Типы элементов'!$O:$O,MATCH($B31,'Типы элементов'!$B:$B,0)),""))</f>
        <v/>
      </c>
      <c r="P31" s="6" t="str">
        <f>IF($B31="","",IFERROR(INDEX('Типы элементов'!$P:$P,MATCH($B31,'Типы элементов'!$B:$B,0)),""))</f>
        <v/>
      </c>
    </row>
    <row r="32" spans="1:16">
      <c r="A32" s="6">
        <v>31</v>
      </c>
      <c r="B32" s="6"/>
      <c r="C32" s="6" t="str">
        <f>IF($B32="","",IFERROR(INDEX('Типы элементов'!$C:$C,MATCH($B32,'Типы элементов'!$B:$B,0)),""))</f>
        <v/>
      </c>
      <c r="D32" s="6" t="str">
        <f>IF($B32="","",IFERROR(INDEX('Типы элементов'!$D:$D,MATCH($B32,'Типы элементов'!$B:$B,0)),""))</f>
        <v/>
      </c>
      <c r="E32" s="6" t="str">
        <f>IF($B32="","",IFERROR(INDEX('Типы элементов'!$E:$E,MATCH($B32,'Типы элементов'!$B:$B,0)),""))</f>
        <v/>
      </c>
      <c r="F32" s="6" t="str">
        <f>IF($B32="","",IFERROR(INDEX('Типы элементов'!$F:$F,MATCH($B32,'Типы элементов'!$B:$B,0)),""))</f>
        <v/>
      </c>
      <c r="G32" s="6" t="str">
        <f>IF($B32="","",IFERROR(INDEX('Типы элементов'!$G:$G,MATCH($B32,'Типы элементов'!$B:$B,0)),""))</f>
        <v/>
      </c>
      <c r="H32" s="6" t="str">
        <f>IF($B32="","",IFERROR(INDEX('Типы элементов'!$H:$H,MATCH($B32,'Типы элементов'!$B:$B,0)),""))</f>
        <v/>
      </c>
      <c r="I32" s="6" t="str">
        <f>IF($B32="","",IFERROR(INDEX('Типы элементов'!$I:$I,MATCH($B32,'Типы элементов'!$B:$B,0)),""))</f>
        <v/>
      </c>
      <c r="J32" s="6" t="str">
        <f>IF($B32="","",IFERROR(INDEX('Типы элементов'!$J:$J,MATCH($B32,'Типы элементов'!$B:$B,0)),""))</f>
        <v/>
      </c>
      <c r="K32" s="6" t="str">
        <f>IF($B32="","",IFERROR(INDEX('Типы элементов'!$K:$K,MATCH($B32,'Типы элементов'!$B:$B,0)),""))</f>
        <v/>
      </c>
      <c r="L32" s="6" t="str">
        <f>IF($B32="","",IFERROR(INDEX('Типы элементов'!$L:$L,MATCH($B32,'Типы элементов'!$B:$B,0)),""))</f>
        <v/>
      </c>
      <c r="M32" s="6" t="str">
        <f>IF($B32="","",IFERROR(INDEX('Типы элементов'!$M:$M,MATCH($B32,'Типы элементов'!$B:$B,0)),""))</f>
        <v/>
      </c>
      <c r="N32" s="6" t="str">
        <f>IF($B32="","",IFERROR(INDEX('Типы элементов'!$N:$N,MATCH($B32,'Типы элементов'!$B:$B,0)),""))</f>
        <v/>
      </c>
      <c r="O32" s="6" t="str">
        <f>IF($B32="","",IFERROR(INDEX('Типы элементов'!$O:$O,MATCH($B32,'Типы элементов'!$B:$B,0)),""))</f>
        <v/>
      </c>
      <c r="P32" s="6" t="str">
        <f>IF($B32="","",IFERROR(INDEX('Типы элементов'!$P:$P,MATCH($B32,'Типы элементов'!$B:$B,0)),""))</f>
        <v/>
      </c>
    </row>
    <row r="33" spans="1:16">
      <c r="A33" s="6">
        <v>32</v>
      </c>
      <c r="B33" s="6"/>
      <c r="C33" s="6" t="str">
        <f>IF($B33="","",IFERROR(INDEX('Типы элементов'!$C:$C,MATCH($B33,'Типы элементов'!$B:$B,0)),""))</f>
        <v/>
      </c>
      <c r="D33" s="6" t="str">
        <f>IF($B33="","",IFERROR(INDEX('Типы элементов'!$D:$D,MATCH($B33,'Типы элементов'!$B:$B,0)),""))</f>
        <v/>
      </c>
      <c r="E33" s="6" t="str">
        <f>IF($B33="","",IFERROR(INDEX('Типы элементов'!$E:$E,MATCH($B33,'Типы элементов'!$B:$B,0)),""))</f>
        <v/>
      </c>
      <c r="F33" s="6" t="str">
        <f>IF($B33="","",IFERROR(INDEX('Типы элементов'!$F:$F,MATCH($B33,'Типы элементов'!$B:$B,0)),""))</f>
        <v/>
      </c>
      <c r="G33" s="6" t="str">
        <f>IF($B33="","",IFERROR(INDEX('Типы элементов'!$G:$G,MATCH($B33,'Типы элементов'!$B:$B,0)),""))</f>
        <v/>
      </c>
      <c r="H33" s="6" t="str">
        <f>IF($B33="","",IFERROR(INDEX('Типы элементов'!$H:$H,MATCH($B33,'Типы элементов'!$B:$B,0)),""))</f>
        <v/>
      </c>
      <c r="I33" s="6" t="str">
        <f>IF($B33="","",IFERROR(INDEX('Типы элементов'!$I:$I,MATCH($B33,'Типы элементов'!$B:$B,0)),""))</f>
        <v/>
      </c>
      <c r="J33" s="6" t="str">
        <f>IF($B33="","",IFERROR(INDEX('Типы элементов'!$J:$J,MATCH($B33,'Типы элементов'!$B:$B,0)),""))</f>
        <v/>
      </c>
      <c r="K33" s="6" t="str">
        <f>IF($B33="","",IFERROR(INDEX('Типы элементов'!$K:$K,MATCH($B33,'Типы элементов'!$B:$B,0)),""))</f>
        <v/>
      </c>
      <c r="L33" s="6" t="str">
        <f>IF($B33="","",IFERROR(INDEX('Типы элементов'!$L:$L,MATCH($B33,'Типы элементов'!$B:$B,0)),""))</f>
        <v/>
      </c>
      <c r="M33" s="6" t="str">
        <f>IF($B33="","",IFERROR(INDEX('Типы элементов'!$M:$M,MATCH($B33,'Типы элементов'!$B:$B,0)),""))</f>
        <v/>
      </c>
      <c r="N33" s="6" t="str">
        <f>IF($B33="","",IFERROR(INDEX('Типы элементов'!$N:$N,MATCH($B33,'Типы элементов'!$B:$B,0)),""))</f>
        <v/>
      </c>
      <c r="O33" s="6" t="str">
        <f>IF($B33="","",IFERROR(INDEX('Типы элементов'!$O:$O,MATCH($B33,'Типы элементов'!$B:$B,0)),""))</f>
        <v/>
      </c>
      <c r="P33" s="6" t="str">
        <f>IF($B33="","",IFERROR(INDEX('Типы элементов'!$P:$P,MATCH($B33,'Типы элементов'!$B:$B,0)),""))</f>
        <v/>
      </c>
    </row>
    <row r="34" spans="1:16">
      <c r="A34" s="6">
        <v>33</v>
      </c>
      <c r="B34" s="6"/>
      <c r="C34" s="6" t="str">
        <f>IF($B34="","",IFERROR(INDEX('Типы элементов'!$C:$C,MATCH($B34,'Типы элементов'!$B:$B,0)),""))</f>
        <v/>
      </c>
      <c r="D34" s="6" t="str">
        <f>IF($B34="","",IFERROR(INDEX('Типы элементов'!$D:$D,MATCH($B34,'Типы элементов'!$B:$B,0)),""))</f>
        <v/>
      </c>
      <c r="E34" s="6" t="str">
        <f>IF($B34="","",IFERROR(INDEX('Типы элементов'!$E:$E,MATCH($B34,'Типы элементов'!$B:$B,0)),""))</f>
        <v/>
      </c>
      <c r="F34" s="6" t="str">
        <f>IF($B34="","",IFERROR(INDEX('Типы элементов'!$F:$F,MATCH($B34,'Типы элементов'!$B:$B,0)),""))</f>
        <v/>
      </c>
      <c r="G34" s="6" t="str">
        <f>IF($B34="","",IFERROR(INDEX('Типы элементов'!$G:$G,MATCH($B34,'Типы элементов'!$B:$B,0)),""))</f>
        <v/>
      </c>
      <c r="H34" s="6" t="str">
        <f>IF($B34="","",IFERROR(INDEX('Типы элементов'!$H:$H,MATCH($B34,'Типы элементов'!$B:$B,0)),""))</f>
        <v/>
      </c>
      <c r="I34" s="6" t="str">
        <f>IF($B34="","",IFERROR(INDEX('Типы элементов'!$I:$I,MATCH($B34,'Типы элементов'!$B:$B,0)),""))</f>
        <v/>
      </c>
      <c r="J34" s="6" t="str">
        <f>IF($B34="","",IFERROR(INDEX('Типы элементов'!$J:$J,MATCH($B34,'Типы элементов'!$B:$B,0)),""))</f>
        <v/>
      </c>
      <c r="K34" s="6" t="str">
        <f>IF($B34="","",IFERROR(INDEX('Типы элементов'!$K:$K,MATCH($B34,'Типы элементов'!$B:$B,0)),""))</f>
        <v/>
      </c>
      <c r="L34" s="6" t="str">
        <f>IF($B34="","",IFERROR(INDEX('Типы элементов'!$L:$L,MATCH($B34,'Типы элементов'!$B:$B,0)),""))</f>
        <v/>
      </c>
      <c r="M34" s="6" t="str">
        <f>IF($B34="","",IFERROR(INDEX('Типы элементов'!$M:$M,MATCH($B34,'Типы элементов'!$B:$B,0)),""))</f>
        <v/>
      </c>
      <c r="N34" s="6" t="str">
        <f>IF($B34="","",IFERROR(INDEX('Типы элементов'!$N:$N,MATCH($B34,'Типы элементов'!$B:$B,0)),""))</f>
        <v/>
      </c>
      <c r="O34" s="6" t="str">
        <f>IF($B34="","",IFERROR(INDEX('Типы элементов'!$O:$O,MATCH($B34,'Типы элементов'!$B:$B,0)),""))</f>
        <v/>
      </c>
      <c r="P34" s="6" t="str">
        <f>IF($B34="","",IFERROR(INDEX('Типы элементов'!$P:$P,MATCH($B34,'Типы элементов'!$B:$B,0)),""))</f>
        <v/>
      </c>
    </row>
    <row r="35" spans="1:16">
      <c r="A35" s="6">
        <v>34</v>
      </c>
      <c r="B35" s="6"/>
      <c r="C35" s="6" t="str">
        <f>IF($B35="","",IFERROR(INDEX('Типы элементов'!$C:$C,MATCH($B35,'Типы элементов'!$B:$B,0)),""))</f>
        <v/>
      </c>
      <c r="D35" s="6" t="str">
        <f>IF($B35="","",IFERROR(INDEX('Типы элементов'!$D:$D,MATCH($B35,'Типы элементов'!$B:$B,0)),""))</f>
        <v/>
      </c>
      <c r="E35" s="6" t="str">
        <f>IF($B35="","",IFERROR(INDEX('Типы элементов'!$E:$E,MATCH($B35,'Типы элементов'!$B:$B,0)),""))</f>
        <v/>
      </c>
      <c r="F35" s="6" t="str">
        <f>IF($B35="","",IFERROR(INDEX('Типы элементов'!$F:$F,MATCH($B35,'Типы элементов'!$B:$B,0)),""))</f>
        <v/>
      </c>
      <c r="G35" s="6" t="str">
        <f>IF($B35="","",IFERROR(INDEX('Типы элементов'!$G:$G,MATCH($B35,'Типы элементов'!$B:$B,0)),""))</f>
        <v/>
      </c>
      <c r="H35" s="6" t="str">
        <f>IF($B35="","",IFERROR(INDEX('Типы элементов'!$H:$H,MATCH($B35,'Типы элементов'!$B:$B,0)),""))</f>
        <v/>
      </c>
      <c r="I35" s="6" t="str">
        <f>IF($B35="","",IFERROR(INDEX('Типы элементов'!$I:$I,MATCH($B35,'Типы элементов'!$B:$B,0)),""))</f>
        <v/>
      </c>
      <c r="J35" s="6" t="str">
        <f>IF($B35="","",IFERROR(INDEX('Типы элементов'!$J:$J,MATCH($B35,'Типы элементов'!$B:$B,0)),""))</f>
        <v/>
      </c>
      <c r="K35" s="6" t="str">
        <f>IF($B35="","",IFERROR(INDEX('Типы элементов'!$K:$K,MATCH($B35,'Типы элементов'!$B:$B,0)),""))</f>
        <v/>
      </c>
      <c r="L35" s="6" t="str">
        <f>IF($B35="","",IFERROR(INDEX('Типы элементов'!$L:$L,MATCH($B35,'Типы элементов'!$B:$B,0)),""))</f>
        <v/>
      </c>
      <c r="M35" s="6" t="str">
        <f>IF($B35="","",IFERROR(INDEX('Типы элементов'!$M:$M,MATCH($B35,'Типы элементов'!$B:$B,0)),""))</f>
        <v/>
      </c>
      <c r="N35" s="6" t="str">
        <f>IF($B35="","",IFERROR(INDEX('Типы элементов'!$N:$N,MATCH($B35,'Типы элементов'!$B:$B,0)),""))</f>
        <v/>
      </c>
      <c r="O35" s="6" t="str">
        <f>IF($B35="","",IFERROR(INDEX('Типы элементов'!$O:$O,MATCH($B35,'Типы элементов'!$B:$B,0)),""))</f>
        <v/>
      </c>
      <c r="P35" s="6" t="str">
        <f>IF($B35="","",IFERROR(INDEX('Типы элементов'!$P:$P,MATCH($B35,'Типы элементов'!$B:$B,0)),""))</f>
        <v/>
      </c>
    </row>
    <row r="36" spans="1:16">
      <c r="A36" s="6">
        <v>35</v>
      </c>
      <c r="B36" s="6"/>
      <c r="C36" s="6" t="str">
        <f>IF($B36="","",IFERROR(INDEX('Типы элементов'!$C:$C,MATCH($B36,'Типы элементов'!$B:$B,0)),""))</f>
        <v/>
      </c>
      <c r="D36" s="6" t="str">
        <f>IF($B36="","",IFERROR(INDEX('Типы элементов'!$D:$D,MATCH($B36,'Типы элементов'!$B:$B,0)),""))</f>
        <v/>
      </c>
      <c r="E36" s="6" t="str">
        <f>IF($B36="","",IFERROR(INDEX('Типы элементов'!$E:$E,MATCH($B36,'Типы элементов'!$B:$B,0)),""))</f>
        <v/>
      </c>
      <c r="F36" s="6" t="str">
        <f>IF($B36="","",IFERROR(INDEX('Типы элементов'!$F:$F,MATCH($B36,'Типы элементов'!$B:$B,0)),""))</f>
        <v/>
      </c>
      <c r="G36" s="6" t="str">
        <f>IF($B36="","",IFERROR(INDEX('Типы элементов'!$G:$G,MATCH($B36,'Типы элементов'!$B:$B,0)),""))</f>
        <v/>
      </c>
      <c r="H36" s="6" t="str">
        <f>IF($B36="","",IFERROR(INDEX('Типы элементов'!$H:$H,MATCH($B36,'Типы элементов'!$B:$B,0)),""))</f>
        <v/>
      </c>
      <c r="I36" s="6" t="str">
        <f>IF($B36="","",IFERROR(INDEX('Типы элементов'!$I:$I,MATCH($B36,'Типы элементов'!$B:$B,0)),""))</f>
        <v/>
      </c>
      <c r="J36" s="6" t="str">
        <f>IF($B36="","",IFERROR(INDEX('Типы элементов'!$J:$J,MATCH($B36,'Типы элементов'!$B:$B,0)),""))</f>
        <v/>
      </c>
      <c r="K36" s="6" t="str">
        <f>IF($B36="","",IFERROR(INDEX('Типы элементов'!$K:$K,MATCH($B36,'Типы элементов'!$B:$B,0)),""))</f>
        <v/>
      </c>
      <c r="L36" s="6" t="str">
        <f>IF($B36="","",IFERROR(INDEX('Типы элементов'!$L:$L,MATCH($B36,'Типы элементов'!$B:$B,0)),""))</f>
        <v/>
      </c>
      <c r="M36" s="6" t="str">
        <f>IF($B36="","",IFERROR(INDEX('Типы элементов'!$M:$M,MATCH($B36,'Типы элементов'!$B:$B,0)),""))</f>
        <v/>
      </c>
      <c r="N36" s="6" t="str">
        <f>IF($B36="","",IFERROR(INDEX('Типы элементов'!$N:$N,MATCH($B36,'Типы элементов'!$B:$B,0)),""))</f>
        <v/>
      </c>
      <c r="O36" s="6" t="str">
        <f>IF($B36="","",IFERROR(INDEX('Типы элементов'!$O:$O,MATCH($B36,'Типы элементов'!$B:$B,0)),""))</f>
        <v/>
      </c>
      <c r="P36" s="6" t="str">
        <f>IF($B36="","",IFERROR(INDEX('Типы элементов'!$P:$P,MATCH($B36,'Типы элементов'!$B:$B,0)),""))</f>
        <v/>
      </c>
    </row>
    <row r="37" spans="1:16">
      <c r="A37" s="6">
        <v>36</v>
      </c>
      <c r="B37" s="6"/>
      <c r="C37" s="6" t="str">
        <f>IF($B37="","",IFERROR(INDEX('Типы элементов'!$C:$C,MATCH($B37,'Типы элементов'!$B:$B,0)),""))</f>
        <v/>
      </c>
      <c r="D37" s="6" t="str">
        <f>IF($B37="","",IFERROR(INDEX('Типы элементов'!$D:$D,MATCH($B37,'Типы элементов'!$B:$B,0)),""))</f>
        <v/>
      </c>
      <c r="E37" s="6" t="str">
        <f>IF($B37="","",IFERROR(INDEX('Типы элементов'!$E:$E,MATCH($B37,'Типы элементов'!$B:$B,0)),""))</f>
        <v/>
      </c>
      <c r="F37" s="6" t="str">
        <f>IF($B37="","",IFERROR(INDEX('Типы элементов'!$F:$F,MATCH($B37,'Типы элементов'!$B:$B,0)),""))</f>
        <v/>
      </c>
      <c r="G37" s="6" t="str">
        <f>IF($B37="","",IFERROR(INDEX('Типы элементов'!$G:$G,MATCH($B37,'Типы элементов'!$B:$B,0)),""))</f>
        <v/>
      </c>
      <c r="H37" s="6" t="str">
        <f>IF($B37="","",IFERROR(INDEX('Типы элементов'!$H:$H,MATCH($B37,'Типы элементов'!$B:$B,0)),""))</f>
        <v/>
      </c>
      <c r="I37" s="6" t="str">
        <f>IF($B37="","",IFERROR(INDEX('Типы элементов'!$I:$I,MATCH($B37,'Типы элементов'!$B:$B,0)),""))</f>
        <v/>
      </c>
      <c r="J37" s="6" t="str">
        <f>IF($B37="","",IFERROR(INDEX('Типы элементов'!$J:$J,MATCH($B37,'Типы элементов'!$B:$B,0)),""))</f>
        <v/>
      </c>
      <c r="K37" s="6" t="str">
        <f>IF($B37="","",IFERROR(INDEX('Типы элементов'!$K:$K,MATCH($B37,'Типы элементов'!$B:$B,0)),""))</f>
        <v/>
      </c>
      <c r="L37" s="6" t="str">
        <f>IF($B37="","",IFERROR(INDEX('Типы элементов'!$L:$L,MATCH($B37,'Типы элементов'!$B:$B,0)),""))</f>
        <v/>
      </c>
      <c r="M37" s="6" t="str">
        <f>IF($B37="","",IFERROR(INDEX('Типы элементов'!$M:$M,MATCH($B37,'Типы элементов'!$B:$B,0)),""))</f>
        <v/>
      </c>
      <c r="N37" s="6" t="str">
        <f>IF($B37="","",IFERROR(INDEX('Типы элементов'!$N:$N,MATCH($B37,'Типы элементов'!$B:$B,0)),""))</f>
        <v/>
      </c>
      <c r="O37" s="6" t="str">
        <f>IF($B37="","",IFERROR(INDEX('Типы элементов'!$O:$O,MATCH($B37,'Типы элементов'!$B:$B,0)),""))</f>
        <v/>
      </c>
      <c r="P37" s="6" t="str">
        <f>IF($B37="","",IFERROR(INDEX('Типы элементов'!$P:$P,MATCH($B37,'Типы элементов'!$B:$B,0)),""))</f>
        <v/>
      </c>
    </row>
    <row r="38" spans="1:16">
      <c r="A38" s="6">
        <v>37</v>
      </c>
      <c r="B38" s="6"/>
      <c r="C38" s="6" t="str">
        <f>IF($B38="","",IFERROR(INDEX('Типы элементов'!$C:$C,MATCH($B38,'Типы элементов'!$B:$B,0)),""))</f>
        <v/>
      </c>
      <c r="D38" s="6" t="str">
        <f>IF($B38="","",IFERROR(INDEX('Типы элементов'!$D:$D,MATCH($B38,'Типы элементов'!$B:$B,0)),""))</f>
        <v/>
      </c>
      <c r="E38" s="6" t="str">
        <f>IF($B38="","",IFERROR(INDEX('Типы элементов'!$E:$E,MATCH($B38,'Типы элементов'!$B:$B,0)),""))</f>
        <v/>
      </c>
      <c r="F38" s="6" t="str">
        <f>IF($B38="","",IFERROR(INDEX('Типы элементов'!$F:$F,MATCH($B38,'Типы элементов'!$B:$B,0)),""))</f>
        <v/>
      </c>
      <c r="G38" s="6" t="str">
        <f>IF($B38="","",IFERROR(INDEX('Типы элементов'!$G:$G,MATCH($B38,'Типы элементов'!$B:$B,0)),""))</f>
        <v/>
      </c>
      <c r="H38" s="6" t="str">
        <f>IF($B38="","",IFERROR(INDEX('Типы элементов'!$H:$H,MATCH($B38,'Типы элементов'!$B:$B,0)),""))</f>
        <v/>
      </c>
      <c r="I38" s="6" t="str">
        <f>IF($B38="","",IFERROR(INDEX('Типы элементов'!$I:$I,MATCH($B38,'Типы элементов'!$B:$B,0)),""))</f>
        <v/>
      </c>
      <c r="J38" s="6" t="str">
        <f>IF($B38="","",IFERROR(INDEX('Типы элементов'!$J:$J,MATCH($B38,'Типы элементов'!$B:$B,0)),""))</f>
        <v/>
      </c>
      <c r="K38" s="6" t="str">
        <f>IF($B38="","",IFERROR(INDEX('Типы элементов'!$K:$K,MATCH($B38,'Типы элементов'!$B:$B,0)),""))</f>
        <v/>
      </c>
      <c r="L38" s="6" t="str">
        <f>IF($B38="","",IFERROR(INDEX('Типы элементов'!$L:$L,MATCH($B38,'Типы элементов'!$B:$B,0)),""))</f>
        <v/>
      </c>
      <c r="M38" s="6" t="str">
        <f>IF($B38="","",IFERROR(INDEX('Типы элементов'!$M:$M,MATCH($B38,'Типы элементов'!$B:$B,0)),""))</f>
        <v/>
      </c>
      <c r="N38" s="6" t="str">
        <f>IF($B38="","",IFERROR(INDEX('Типы элементов'!$N:$N,MATCH($B38,'Типы элементов'!$B:$B,0)),""))</f>
        <v/>
      </c>
      <c r="O38" s="6" t="str">
        <f>IF($B38="","",IFERROR(INDEX('Типы элементов'!$O:$O,MATCH($B38,'Типы элементов'!$B:$B,0)),""))</f>
        <v/>
      </c>
      <c r="P38" s="6" t="str">
        <f>IF($B38="","",IFERROR(INDEX('Типы элементов'!$P:$P,MATCH($B38,'Типы элементов'!$B:$B,0)),""))</f>
        <v/>
      </c>
    </row>
    <row r="39" spans="1:16">
      <c r="A39" s="6">
        <v>38</v>
      </c>
      <c r="B39" s="6"/>
      <c r="C39" s="6" t="str">
        <f>IF($B39="","",IFERROR(INDEX('Типы элементов'!$C:$C,MATCH($B39,'Типы элементов'!$B:$B,0)),""))</f>
        <v/>
      </c>
      <c r="D39" s="6" t="str">
        <f>IF($B39="","",IFERROR(INDEX('Типы элементов'!$D:$D,MATCH($B39,'Типы элементов'!$B:$B,0)),""))</f>
        <v/>
      </c>
      <c r="E39" s="6" t="str">
        <f>IF($B39="","",IFERROR(INDEX('Типы элементов'!$E:$E,MATCH($B39,'Типы элементов'!$B:$B,0)),""))</f>
        <v/>
      </c>
      <c r="F39" s="6" t="str">
        <f>IF($B39="","",IFERROR(INDEX('Типы элементов'!$F:$F,MATCH($B39,'Типы элементов'!$B:$B,0)),""))</f>
        <v/>
      </c>
      <c r="G39" s="6" t="str">
        <f>IF($B39="","",IFERROR(INDEX('Типы элементов'!$G:$G,MATCH($B39,'Типы элементов'!$B:$B,0)),""))</f>
        <v/>
      </c>
      <c r="H39" s="6" t="str">
        <f>IF($B39="","",IFERROR(INDEX('Типы элементов'!$H:$H,MATCH($B39,'Типы элементов'!$B:$B,0)),""))</f>
        <v/>
      </c>
      <c r="I39" s="6" t="str">
        <f>IF($B39="","",IFERROR(INDEX('Типы элементов'!$I:$I,MATCH($B39,'Типы элементов'!$B:$B,0)),""))</f>
        <v/>
      </c>
      <c r="J39" s="6" t="str">
        <f>IF($B39="","",IFERROR(INDEX('Типы элементов'!$J:$J,MATCH($B39,'Типы элементов'!$B:$B,0)),""))</f>
        <v/>
      </c>
      <c r="K39" s="6" t="str">
        <f>IF($B39="","",IFERROR(INDEX('Типы элементов'!$K:$K,MATCH($B39,'Типы элементов'!$B:$B,0)),""))</f>
        <v/>
      </c>
      <c r="L39" s="6" t="str">
        <f>IF($B39="","",IFERROR(INDEX('Типы элементов'!$L:$L,MATCH($B39,'Типы элементов'!$B:$B,0)),""))</f>
        <v/>
      </c>
      <c r="M39" s="6" t="str">
        <f>IF($B39="","",IFERROR(INDEX('Типы элементов'!$M:$M,MATCH($B39,'Типы элементов'!$B:$B,0)),""))</f>
        <v/>
      </c>
      <c r="N39" s="6" t="str">
        <f>IF($B39="","",IFERROR(INDEX('Типы элементов'!$N:$N,MATCH($B39,'Типы элементов'!$B:$B,0)),""))</f>
        <v/>
      </c>
      <c r="O39" s="6" t="str">
        <f>IF($B39="","",IFERROR(INDEX('Типы элементов'!$O:$O,MATCH($B39,'Типы элементов'!$B:$B,0)),""))</f>
        <v/>
      </c>
      <c r="P39" s="6" t="str">
        <f>IF($B39="","",IFERROR(INDEX('Типы элементов'!$P:$P,MATCH($B39,'Типы элементов'!$B:$B,0)),""))</f>
        <v/>
      </c>
    </row>
    <row r="40" spans="1:16">
      <c r="A40" s="6">
        <v>39</v>
      </c>
      <c r="B40" s="6"/>
      <c r="C40" s="6" t="str">
        <f>IF($B40="","",IFERROR(INDEX('Типы элементов'!$C:$C,MATCH($B40,'Типы элементов'!$B:$B,0)),""))</f>
        <v/>
      </c>
      <c r="D40" s="6" t="str">
        <f>IF($B40="","",IFERROR(INDEX('Типы элементов'!$D:$D,MATCH($B40,'Типы элементов'!$B:$B,0)),""))</f>
        <v/>
      </c>
      <c r="E40" s="6" t="str">
        <f>IF($B40="","",IFERROR(INDEX('Типы элементов'!$E:$E,MATCH($B40,'Типы элементов'!$B:$B,0)),""))</f>
        <v/>
      </c>
      <c r="F40" s="6" t="str">
        <f>IF($B40="","",IFERROR(INDEX('Типы элементов'!$F:$F,MATCH($B40,'Типы элементов'!$B:$B,0)),""))</f>
        <v/>
      </c>
      <c r="G40" s="6" t="str">
        <f>IF($B40="","",IFERROR(INDEX('Типы элементов'!$G:$G,MATCH($B40,'Типы элементов'!$B:$B,0)),""))</f>
        <v/>
      </c>
      <c r="H40" s="6" t="str">
        <f>IF($B40="","",IFERROR(INDEX('Типы элементов'!$H:$H,MATCH($B40,'Типы элементов'!$B:$B,0)),""))</f>
        <v/>
      </c>
      <c r="I40" s="6" t="str">
        <f>IF($B40="","",IFERROR(INDEX('Типы элементов'!$I:$I,MATCH($B40,'Типы элементов'!$B:$B,0)),""))</f>
        <v/>
      </c>
      <c r="J40" s="6" t="str">
        <f>IF($B40="","",IFERROR(INDEX('Типы элементов'!$J:$J,MATCH($B40,'Типы элементов'!$B:$B,0)),""))</f>
        <v/>
      </c>
      <c r="K40" s="6" t="str">
        <f>IF($B40="","",IFERROR(INDEX('Типы элементов'!$K:$K,MATCH($B40,'Типы элементов'!$B:$B,0)),""))</f>
        <v/>
      </c>
      <c r="L40" s="6" t="str">
        <f>IF($B40="","",IFERROR(INDEX('Типы элементов'!$L:$L,MATCH($B40,'Типы элементов'!$B:$B,0)),""))</f>
        <v/>
      </c>
      <c r="M40" s="6" t="str">
        <f>IF($B40="","",IFERROR(INDEX('Типы элементов'!$M:$M,MATCH($B40,'Типы элементов'!$B:$B,0)),""))</f>
        <v/>
      </c>
      <c r="N40" s="6" t="str">
        <f>IF($B40="","",IFERROR(INDEX('Типы элементов'!$N:$N,MATCH($B40,'Типы элементов'!$B:$B,0)),""))</f>
        <v/>
      </c>
      <c r="O40" s="6" t="str">
        <f>IF($B40="","",IFERROR(INDEX('Типы элементов'!$O:$O,MATCH($B40,'Типы элементов'!$B:$B,0)),""))</f>
        <v/>
      </c>
      <c r="P40" s="6" t="str">
        <f>IF($B40="","",IFERROR(INDEX('Типы элементов'!$P:$P,MATCH($B40,'Типы элементов'!$B:$B,0)),""))</f>
        <v/>
      </c>
    </row>
    <row r="41" spans="1:16">
      <c r="A41" s="6">
        <v>40</v>
      </c>
      <c r="B41" s="6"/>
      <c r="C41" s="6" t="str">
        <f>IF($B41="","",IFERROR(INDEX('Типы элементов'!$C:$C,MATCH($B41,'Типы элементов'!$B:$B,0)),""))</f>
        <v/>
      </c>
      <c r="D41" s="6" t="str">
        <f>IF($B41="","",IFERROR(INDEX('Типы элементов'!$D:$D,MATCH($B41,'Типы элементов'!$B:$B,0)),""))</f>
        <v/>
      </c>
      <c r="E41" s="6" t="str">
        <f>IF($B41="","",IFERROR(INDEX('Типы элементов'!$E:$E,MATCH($B41,'Типы элементов'!$B:$B,0)),""))</f>
        <v/>
      </c>
      <c r="F41" s="6" t="str">
        <f>IF($B41="","",IFERROR(INDEX('Типы элементов'!$F:$F,MATCH($B41,'Типы элементов'!$B:$B,0)),""))</f>
        <v/>
      </c>
      <c r="G41" s="6" t="str">
        <f>IF($B41="","",IFERROR(INDEX('Типы элементов'!$G:$G,MATCH($B41,'Типы элементов'!$B:$B,0)),""))</f>
        <v/>
      </c>
      <c r="H41" s="6" t="str">
        <f>IF($B41="","",IFERROR(INDEX('Типы элементов'!$H:$H,MATCH($B41,'Типы элементов'!$B:$B,0)),""))</f>
        <v/>
      </c>
      <c r="I41" s="6" t="str">
        <f>IF($B41="","",IFERROR(INDEX('Типы элементов'!$I:$I,MATCH($B41,'Типы элементов'!$B:$B,0)),""))</f>
        <v/>
      </c>
      <c r="J41" s="6" t="str">
        <f>IF($B41="","",IFERROR(INDEX('Типы элементов'!$J:$J,MATCH($B41,'Типы элементов'!$B:$B,0)),""))</f>
        <v/>
      </c>
      <c r="K41" s="6" t="str">
        <f>IF($B41="","",IFERROR(INDEX('Типы элементов'!$K:$K,MATCH($B41,'Типы элементов'!$B:$B,0)),""))</f>
        <v/>
      </c>
      <c r="L41" s="6" t="str">
        <f>IF($B41="","",IFERROR(INDEX('Типы элементов'!$L:$L,MATCH($B41,'Типы элементов'!$B:$B,0)),""))</f>
        <v/>
      </c>
      <c r="M41" s="6" t="str">
        <f>IF($B41="","",IFERROR(INDEX('Типы элементов'!$M:$M,MATCH($B41,'Типы элементов'!$B:$B,0)),""))</f>
        <v/>
      </c>
      <c r="N41" s="6" t="str">
        <f>IF($B41="","",IFERROR(INDEX('Типы элементов'!$N:$N,MATCH($B41,'Типы элементов'!$B:$B,0)),""))</f>
        <v/>
      </c>
      <c r="O41" s="6" t="str">
        <f>IF($B41="","",IFERROR(INDEX('Типы элементов'!$O:$O,MATCH($B41,'Типы элементов'!$B:$B,0)),""))</f>
        <v/>
      </c>
      <c r="P41" s="6" t="str">
        <f>IF($B41="","",IFERROR(INDEX('Типы элементов'!$P:$P,MATCH($B41,'Типы элементов'!$B:$B,0)),""))</f>
        <v/>
      </c>
    </row>
    <row r="42" spans="1:16">
      <c r="A42" s="6">
        <v>41</v>
      </c>
      <c r="B42" s="6"/>
      <c r="C42" s="6" t="str">
        <f>IF($B42="","",IFERROR(INDEX('Типы элементов'!$C:$C,MATCH($B42,'Типы элементов'!$B:$B,0)),""))</f>
        <v/>
      </c>
      <c r="D42" s="6" t="str">
        <f>IF($B42="","",IFERROR(INDEX('Типы элементов'!$D:$D,MATCH($B42,'Типы элементов'!$B:$B,0)),""))</f>
        <v/>
      </c>
      <c r="E42" s="6" t="str">
        <f>IF($B42="","",IFERROR(INDEX('Типы элементов'!$E:$E,MATCH($B42,'Типы элементов'!$B:$B,0)),""))</f>
        <v/>
      </c>
      <c r="F42" s="6" t="str">
        <f>IF($B42="","",IFERROR(INDEX('Типы элементов'!$F:$F,MATCH($B42,'Типы элементов'!$B:$B,0)),""))</f>
        <v/>
      </c>
      <c r="G42" s="6" t="str">
        <f>IF($B42="","",IFERROR(INDEX('Типы элементов'!$G:$G,MATCH($B42,'Типы элементов'!$B:$B,0)),""))</f>
        <v/>
      </c>
      <c r="H42" s="6" t="str">
        <f>IF($B42="","",IFERROR(INDEX('Типы элементов'!$H:$H,MATCH($B42,'Типы элементов'!$B:$B,0)),""))</f>
        <v/>
      </c>
      <c r="I42" s="6" t="str">
        <f>IF($B42="","",IFERROR(INDEX('Типы элементов'!$I:$I,MATCH($B42,'Типы элементов'!$B:$B,0)),""))</f>
        <v/>
      </c>
      <c r="J42" s="6" t="str">
        <f>IF($B42="","",IFERROR(INDEX('Типы элементов'!$J:$J,MATCH($B42,'Типы элементов'!$B:$B,0)),""))</f>
        <v/>
      </c>
      <c r="K42" s="6" t="str">
        <f>IF($B42="","",IFERROR(INDEX('Типы элементов'!$K:$K,MATCH($B42,'Типы элементов'!$B:$B,0)),""))</f>
        <v/>
      </c>
      <c r="L42" s="6" t="str">
        <f>IF($B42="","",IFERROR(INDEX('Типы элементов'!$L:$L,MATCH($B42,'Типы элементов'!$B:$B,0)),""))</f>
        <v/>
      </c>
      <c r="M42" s="6" t="str">
        <f>IF($B42="","",IFERROR(INDEX('Типы элементов'!$M:$M,MATCH($B42,'Типы элементов'!$B:$B,0)),""))</f>
        <v/>
      </c>
      <c r="N42" s="6" t="str">
        <f>IF($B42="","",IFERROR(INDEX('Типы элементов'!$N:$N,MATCH($B42,'Типы элементов'!$B:$B,0)),""))</f>
        <v/>
      </c>
      <c r="O42" s="6" t="str">
        <f>IF($B42="","",IFERROR(INDEX('Типы элементов'!$O:$O,MATCH($B42,'Типы элементов'!$B:$B,0)),""))</f>
        <v/>
      </c>
      <c r="P42" s="6" t="str">
        <f>IF($B42="","",IFERROR(INDEX('Типы элементов'!$P:$P,MATCH($B42,'Типы элементов'!$B:$B,0)),""))</f>
        <v/>
      </c>
    </row>
    <row r="43" spans="1:16">
      <c r="A43" s="6">
        <v>42</v>
      </c>
      <c r="B43" s="6"/>
      <c r="C43" s="6" t="str">
        <f>IF($B43="","",IFERROR(INDEX('Типы элементов'!$C:$C,MATCH($B43,'Типы элементов'!$B:$B,0)),""))</f>
        <v/>
      </c>
      <c r="D43" s="6" t="str">
        <f>IF($B43="","",IFERROR(INDEX('Типы элементов'!$D:$D,MATCH($B43,'Типы элементов'!$B:$B,0)),""))</f>
        <v/>
      </c>
      <c r="E43" s="6" t="str">
        <f>IF($B43="","",IFERROR(INDEX('Типы элементов'!$E:$E,MATCH($B43,'Типы элементов'!$B:$B,0)),""))</f>
        <v/>
      </c>
      <c r="F43" s="6" t="str">
        <f>IF($B43="","",IFERROR(INDEX('Типы элементов'!$F:$F,MATCH($B43,'Типы элементов'!$B:$B,0)),""))</f>
        <v/>
      </c>
      <c r="G43" s="6" t="str">
        <f>IF($B43="","",IFERROR(INDEX('Типы элементов'!$G:$G,MATCH($B43,'Типы элементов'!$B:$B,0)),""))</f>
        <v/>
      </c>
      <c r="H43" s="6" t="str">
        <f>IF($B43="","",IFERROR(INDEX('Типы элементов'!$H:$H,MATCH($B43,'Типы элементов'!$B:$B,0)),""))</f>
        <v/>
      </c>
      <c r="I43" s="6" t="str">
        <f>IF($B43="","",IFERROR(INDEX('Типы элементов'!$I:$I,MATCH($B43,'Типы элементов'!$B:$B,0)),""))</f>
        <v/>
      </c>
      <c r="J43" s="6" t="str">
        <f>IF($B43="","",IFERROR(INDEX('Типы элементов'!$J:$J,MATCH($B43,'Типы элементов'!$B:$B,0)),""))</f>
        <v/>
      </c>
      <c r="K43" s="6" t="str">
        <f>IF($B43="","",IFERROR(INDEX('Типы элементов'!$K:$K,MATCH($B43,'Типы элементов'!$B:$B,0)),""))</f>
        <v/>
      </c>
      <c r="L43" s="6" t="str">
        <f>IF($B43="","",IFERROR(INDEX('Типы элементов'!$L:$L,MATCH($B43,'Типы элементов'!$B:$B,0)),""))</f>
        <v/>
      </c>
      <c r="M43" s="6" t="str">
        <f>IF($B43="","",IFERROR(INDEX('Типы элементов'!$M:$M,MATCH($B43,'Типы элементов'!$B:$B,0)),""))</f>
        <v/>
      </c>
      <c r="N43" s="6" t="str">
        <f>IF($B43="","",IFERROR(INDEX('Типы элементов'!$N:$N,MATCH($B43,'Типы элементов'!$B:$B,0)),""))</f>
        <v/>
      </c>
      <c r="O43" s="6" t="str">
        <f>IF($B43="","",IFERROR(INDEX('Типы элементов'!$O:$O,MATCH($B43,'Типы элементов'!$B:$B,0)),""))</f>
        <v/>
      </c>
      <c r="P43" s="6" t="str">
        <f>IF($B43="","",IFERROR(INDEX('Типы элементов'!$P:$P,MATCH($B43,'Типы элементов'!$B:$B,0)),""))</f>
        <v/>
      </c>
    </row>
    <row r="44" spans="1:16">
      <c r="A44" s="6">
        <v>43</v>
      </c>
      <c r="B44" s="6"/>
      <c r="C44" s="6" t="str">
        <f>IF($B44="","",IFERROR(INDEX('Типы элементов'!$C:$C,MATCH($B44,'Типы элементов'!$B:$B,0)),""))</f>
        <v/>
      </c>
      <c r="D44" s="6" t="str">
        <f>IF($B44="","",IFERROR(INDEX('Типы элементов'!$D:$D,MATCH($B44,'Типы элементов'!$B:$B,0)),""))</f>
        <v/>
      </c>
      <c r="E44" s="6" t="str">
        <f>IF($B44="","",IFERROR(INDEX('Типы элементов'!$E:$E,MATCH($B44,'Типы элементов'!$B:$B,0)),""))</f>
        <v/>
      </c>
      <c r="F44" s="6" t="str">
        <f>IF($B44="","",IFERROR(INDEX('Типы элементов'!$F:$F,MATCH($B44,'Типы элементов'!$B:$B,0)),""))</f>
        <v/>
      </c>
      <c r="G44" s="6" t="str">
        <f>IF($B44="","",IFERROR(INDEX('Типы элементов'!$G:$G,MATCH($B44,'Типы элементов'!$B:$B,0)),""))</f>
        <v/>
      </c>
      <c r="H44" s="6" t="str">
        <f>IF($B44="","",IFERROR(INDEX('Типы элементов'!$H:$H,MATCH($B44,'Типы элементов'!$B:$B,0)),""))</f>
        <v/>
      </c>
      <c r="I44" s="6" t="str">
        <f>IF($B44="","",IFERROR(INDEX('Типы элементов'!$I:$I,MATCH($B44,'Типы элементов'!$B:$B,0)),""))</f>
        <v/>
      </c>
      <c r="J44" s="6" t="str">
        <f>IF($B44="","",IFERROR(INDEX('Типы элементов'!$J:$J,MATCH($B44,'Типы элементов'!$B:$B,0)),""))</f>
        <v/>
      </c>
      <c r="K44" s="6" t="str">
        <f>IF($B44="","",IFERROR(INDEX('Типы элементов'!$K:$K,MATCH($B44,'Типы элементов'!$B:$B,0)),""))</f>
        <v/>
      </c>
      <c r="L44" s="6" t="str">
        <f>IF($B44="","",IFERROR(INDEX('Типы элементов'!$L:$L,MATCH($B44,'Типы элементов'!$B:$B,0)),""))</f>
        <v/>
      </c>
      <c r="M44" s="6" t="str">
        <f>IF($B44="","",IFERROR(INDEX('Типы элементов'!$M:$M,MATCH($B44,'Типы элементов'!$B:$B,0)),""))</f>
        <v/>
      </c>
      <c r="N44" s="6" t="str">
        <f>IF($B44="","",IFERROR(INDEX('Типы элементов'!$N:$N,MATCH($B44,'Типы элементов'!$B:$B,0)),""))</f>
        <v/>
      </c>
      <c r="O44" s="6" t="str">
        <f>IF($B44="","",IFERROR(INDEX('Типы элементов'!$O:$O,MATCH($B44,'Типы элементов'!$B:$B,0)),""))</f>
        <v/>
      </c>
      <c r="P44" s="6" t="str">
        <f>IF($B44="","",IFERROR(INDEX('Типы элементов'!$P:$P,MATCH($B44,'Типы элементов'!$B:$B,0)),""))</f>
        <v/>
      </c>
    </row>
    <row r="45" spans="1:16">
      <c r="A45" s="6">
        <v>44</v>
      </c>
      <c r="B45" s="6"/>
      <c r="C45" s="6" t="str">
        <f>IF($B45="","",IFERROR(INDEX('Типы элементов'!$C:$C,MATCH($B45,'Типы элементов'!$B:$B,0)),""))</f>
        <v/>
      </c>
      <c r="D45" s="6" t="str">
        <f>IF($B45="","",IFERROR(INDEX('Типы элементов'!$D:$D,MATCH($B45,'Типы элементов'!$B:$B,0)),""))</f>
        <v/>
      </c>
      <c r="E45" s="6" t="str">
        <f>IF($B45="","",IFERROR(INDEX('Типы элементов'!$E:$E,MATCH($B45,'Типы элементов'!$B:$B,0)),""))</f>
        <v/>
      </c>
      <c r="F45" s="6" t="str">
        <f>IF($B45="","",IFERROR(INDEX('Типы элементов'!$F:$F,MATCH($B45,'Типы элементов'!$B:$B,0)),""))</f>
        <v/>
      </c>
      <c r="G45" s="6" t="str">
        <f>IF($B45="","",IFERROR(INDEX('Типы элементов'!$G:$G,MATCH($B45,'Типы элементов'!$B:$B,0)),""))</f>
        <v/>
      </c>
      <c r="H45" s="6" t="str">
        <f>IF($B45="","",IFERROR(INDEX('Типы элементов'!$H:$H,MATCH($B45,'Типы элементов'!$B:$B,0)),""))</f>
        <v/>
      </c>
      <c r="I45" s="6" t="str">
        <f>IF($B45="","",IFERROR(INDEX('Типы элементов'!$I:$I,MATCH($B45,'Типы элементов'!$B:$B,0)),""))</f>
        <v/>
      </c>
      <c r="J45" s="6" t="str">
        <f>IF($B45="","",IFERROR(INDEX('Типы элементов'!$J:$J,MATCH($B45,'Типы элементов'!$B:$B,0)),""))</f>
        <v/>
      </c>
      <c r="K45" s="6" t="str">
        <f>IF($B45="","",IFERROR(INDEX('Типы элементов'!$K:$K,MATCH($B45,'Типы элементов'!$B:$B,0)),""))</f>
        <v/>
      </c>
      <c r="L45" s="6" t="str">
        <f>IF($B45="","",IFERROR(INDEX('Типы элементов'!$L:$L,MATCH($B45,'Типы элементов'!$B:$B,0)),""))</f>
        <v/>
      </c>
      <c r="M45" s="6" t="str">
        <f>IF($B45="","",IFERROR(INDEX('Типы элементов'!$M:$M,MATCH($B45,'Типы элементов'!$B:$B,0)),""))</f>
        <v/>
      </c>
      <c r="N45" s="6" t="str">
        <f>IF($B45="","",IFERROR(INDEX('Типы элементов'!$N:$N,MATCH($B45,'Типы элементов'!$B:$B,0)),""))</f>
        <v/>
      </c>
      <c r="O45" s="6" t="str">
        <f>IF($B45="","",IFERROR(INDEX('Типы элементов'!$O:$O,MATCH($B45,'Типы элементов'!$B:$B,0)),""))</f>
        <v/>
      </c>
      <c r="P45" s="6" t="str">
        <f>IF($B45="","",IFERROR(INDEX('Типы элементов'!$P:$P,MATCH($B45,'Типы элементов'!$B:$B,0)),""))</f>
        <v/>
      </c>
    </row>
    <row r="46" spans="1:16">
      <c r="A46" s="6">
        <v>45</v>
      </c>
      <c r="B46" s="6"/>
      <c r="C46" s="6" t="str">
        <f>IF($B46="","",IFERROR(INDEX('Типы элементов'!$C:$C,MATCH($B46,'Типы элементов'!$B:$B,0)),""))</f>
        <v/>
      </c>
      <c r="D46" s="6" t="str">
        <f>IF($B46="","",IFERROR(INDEX('Типы элементов'!$D:$D,MATCH($B46,'Типы элементов'!$B:$B,0)),""))</f>
        <v/>
      </c>
      <c r="E46" s="6" t="str">
        <f>IF($B46="","",IFERROR(INDEX('Типы элементов'!$E:$E,MATCH($B46,'Типы элементов'!$B:$B,0)),""))</f>
        <v/>
      </c>
      <c r="F46" s="6" t="str">
        <f>IF($B46="","",IFERROR(INDEX('Типы элементов'!$F:$F,MATCH($B46,'Типы элементов'!$B:$B,0)),""))</f>
        <v/>
      </c>
      <c r="G46" s="6" t="str">
        <f>IF($B46="","",IFERROR(INDEX('Типы элементов'!$G:$G,MATCH($B46,'Типы элементов'!$B:$B,0)),""))</f>
        <v/>
      </c>
      <c r="H46" s="6" t="str">
        <f>IF($B46="","",IFERROR(INDEX('Типы элементов'!$H:$H,MATCH($B46,'Типы элементов'!$B:$B,0)),""))</f>
        <v/>
      </c>
      <c r="I46" s="6" t="str">
        <f>IF($B46="","",IFERROR(INDEX('Типы элементов'!$I:$I,MATCH($B46,'Типы элементов'!$B:$B,0)),""))</f>
        <v/>
      </c>
      <c r="J46" s="6" t="str">
        <f>IF($B46="","",IFERROR(INDEX('Типы элементов'!$J:$J,MATCH($B46,'Типы элементов'!$B:$B,0)),""))</f>
        <v/>
      </c>
      <c r="K46" s="6" t="str">
        <f>IF($B46="","",IFERROR(INDEX('Типы элементов'!$K:$K,MATCH($B46,'Типы элементов'!$B:$B,0)),""))</f>
        <v/>
      </c>
      <c r="L46" s="6" t="str">
        <f>IF($B46="","",IFERROR(INDEX('Типы элементов'!$L:$L,MATCH($B46,'Типы элементов'!$B:$B,0)),""))</f>
        <v/>
      </c>
      <c r="M46" s="6" t="str">
        <f>IF($B46="","",IFERROR(INDEX('Типы элементов'!$M:$M,MATCH($B46,'Типы элементов'!$B:$B,0)),""))</f>
        <v/>
      </c>
      <c r="N46" s="6" t="str">
        <f>IF($B46="","",IFERROR(INDEX('Типы элементов'!$N:$N,MATCH($B46,'Типы элементов'!$B:$B,0)),""))</f>
        <v/>
      </c>
      <c r="O46" s="6" t="str">
        <f>IF($B46="","",IFERROR(INDEX('Типы элементов'!$O:$O,MATCH($B46,'Типы элементов'!$B:$B,0)),""))</f>
        <v/>
      </c>
      <c r="P46" s="6" t="str">
        <f>IF($B46="","",IFERROR(INDEX('Типы элементов'!$P:$P,MATCH($B46,'Типы элементов'!$B:$B,0)),""))</f>
        <v/>
      </c>
    </row>
    <row r="47" spans="1:16">
      <c r="A47" s="6">
        <v>46</v>
      </c>
      <c r="B47" s="6"/>
      <c r="C47" s="6" t="str">
        <f>IF($B47="","",IFERROR(INDEX('Типы элементов'!$C:$C,MATCH($B47,'Типы элементов'!$B:$B,0)),""))</f>
        <v/>
      </c>
      <c r="D47" s="6" t="str">
        <f>IF($B47="","",IFERROR(INDEX('Типы элементов'!$D:$D,MATCH($B47,'Типы элементов'!$B:$B,0)),""))</f>
        <v/>
      </c>
      <c r="E47" s="6" t="str">
        <f>IF($B47="","",IFERROR(INDEX('Типы элементов'!$E:$E,MATCH($B47,'Типы элементов'!$B:$B,0)),""))</f>
        <v/>
      </c>
      <c r="F47" s="6" t="str">
        <f>IF($B47="","",IFERROR(INDEX('Типы элементов'!$F:$F,MATCH($B47,'Типы элементов'!$B:$B,0)),""))</f>
        <v/>
      </c>
      <c r="G47" s="6" t="str">
        <f>IF($B47="","",IFERROR(INDEX('Типы элементов'!$G:$G,MATCH($B47,'Типы элементов'!$B:$B,0)),""))</f>
        <v/>
      </c>
      <c r="H47" s="6" t="str">
        <f>IF($B47="","",IFERROR(INDEX('Типы элементов'!$H:$H,MATCH($B47,'Типы элементов'!$B:$B,0)),""))</f>
        <v/>
      </c>
      <c r="I47" s="6" t="str">
        <f>IF($B47="","",IFERROR(INDEX('Типы элементов'!$I:$I,MATCH($B47,'Типы элементов'!$B:$B,0)),""))</f>
        <v/>
      </c>
      <c r="J47" s="6" t="str">
        <f>IF($B47="","",IFERROR(INDEX('Типы элементов'!$J:$J,MATCH($B47,'Типы элементов'!$B:$B,0)),""))</f>
        <v/>
      </c>
      <c r="K47" s="6" t="str">
        <f>IF($B47="","",IFERROR(INDEX('Типы элементов'!$K:$K,MATCH($B47,'Типы элементов'!$B:$B,0)),""))</f>
        <v/>
      </c>
      <c r="L47" s="6" t="str">
        <f>IF($B47="","",IFERROR(INDEX('Типы элементов'!$L:$L,MATCH($B47,'Типы элементов'!$B:$B,0)),""))</f>
        <v/>
      </c>
      <c r="M47" s="6" t="str">
        <f>IF($B47="","",IFERROR(INDEX('Типы элементов'!$M:$M,MATCH($B47,'Типы элементов'!$B:$B,0)),""))</f>
        <v/>
      </c>
      <c r="N47" s="6" t="str">
        <f>IF($B47="","",IFERROR(INDEX('Типы элементов'!$N:$N,MATCH($B47,'Типы элементов'!$B:$B,0)),""))</f>
        <v/>
      </c>
      <c r="O47" s="6" t="str">
        <f>IF($B47="","",IFERROR(INDEX('Типы элементов'!$O:$O,MATCH($B47,'Типы элементов'!$B:$B,0)),""))</f>
        <v/>
      </c>
      <c r="P47" s="6" t="str">
        <f>IF($B47="","",IFERROR(INDEX('Типы элементов'!$P:$P,MATCH($B47,'Типы элементов'!$B:$B,0)),""))</f>
        <v/>
      </c>
    </row>
    <row r="48" spans="1:16">
      <c r="A48" s="6">
        <v>47</v>
      </c>
      <c r="B48" s="6"/>
      <c r="C48" s="6" t="str">
        <f>IF($B48="","",IFERROR(INDEX('Типы элементов'!$C:$C,MATCH($B48,'Типы элементов'!$B:$B,0)),""))</f>
        <v/>
      </c>
      <c r="D48" s="6" t="str">
        <f>IF($B48="","",IFERROR(INDEX('Типы элементов'!$D:$D,MATCH($B48,'Типы элементов'!$B:$B,0)),""))</f>
        <v/>
      </c>
      <c r="E48" s="6" t="str">
        <f>IF($B48="","",IFERROR(INDEX('Типы элементов'!$E:$E,MATCH($B48,'Типы элементов'!$B:$B,0)),""))</f>
        <v/>
      </c>
      <c r="F48" s="6" t="str">
        <f>IF($B48="","",IFERROR(INDEX('Типы элементов'!$F:$F,MATCH($B48,'Типы элементов'!$B:$B,0)),""))</f>
        <v/>
      </c>
      <c r="G48" s="6" t="str">
        <f>IF($B48="","",IFERROR(INDEX('Типы элементов'!$G:$G,MATCH($B48,'Типы элементов'!$B:$B,0)),""))</f>
        <v/>
      </c>
      <c r="H48" s="6" t="str">
        <f>IF($B48="","",IFERROR(INDEX('Типы элементов'!$H:$H,MATCH($B48,'Типы элементов'!$B:$B,0)),""))</f>
        <v/>
      </c>
      <c r="I48" s="6" t="str">
        <f>IF($B48="","",IFERROR(INDEX('Типы элементов'!$I:$I,MATCH($B48,'Типы элементов'!$B:$B,0)),""))</f>
        <v/>
      </c>
      <c r="J48" s="6" t="str">
        <f>IF($B48="","",IFERROR(INDEX('Типы элементов'!$J:$J,MATCH($B48,'Типы элементов'!$B:$B,0)),""))</f>
        <v/>
      </c>
      <c r="K48" s="6" t="str">
        <f>IF($B48="","",IFERROR(INDEX('Типы элементов'!$K:$K,MATCH($B48,'Типы элементов'!$B:$B,0)),""))</f>
        <v/>
      </c>
      <c r="L48" s="6" t="str">
        <f>IF($B48="","",IFERROR(INDEX('Типы элементов'!$L:$L,MATCH($B48,'Типы элементов'!$B:$B,0)),""))</f>
        <v/>
      </c>
      <c r="M48" s="6" t="str">
        <f>IF($B48="","",IFERROR(INDEX('Типы элементов'!$M:$M,MATCH($B48,'Типы элементов'!$B:$B,0)),""))</f>
        <v/>
      </c>
      <c r="N48" s="6" t="str">
        <f>IF($B48="","",IFERROR(INDEX('Типы элементов'!$N:$N,MATCH($B48,'Типы элементов'!$B:$B,0)),""))</f>
        <v/>
      </c>
      <c r="O48" s="6" t="str">
        <f>IF($B48="","",IFERROR(INDEX('Типы элементов'!$O:$O,MATCH($B48,'Типы элементов'!$B:$B,0)),""))</f>
        <v/>
      </c>
      <c r="P48" s="6" t="str">
        <f>IF($B48="","",IFERROR(INDEX('Типы элементов'!$P:$P,MATCH($B48,'Типы элементов'!$B:$B,0)),""))</f>
        <v/>
      </c>
    </row>
    <row r="49" spans="1:16">
      <c r="A49" s="6">
        <v>48</v>
      </c>
      <c r="B49" s="6"/>
      <c r="C49" s="6" t="str">
        <f>IF($B49="","",IFERROR(INDEX('Типы элементов'!$C:$C,MATCH($B49,'Типы элементов'!$B:$B,0)),""))</f>
        <v/>
      </c>
      <c r="D49" s="6" t="str">
        <f>IF($B49="","",IFERROR(INDEX('Типы элементов'!$D:$D,MATCH($B49,'Типы элементов'!$B:$B,0)),""))</f>
        <v/>
      </c>
      <c r="E49" s="6" t="str">
        <f>IF($B49="","",IFERROR(INDEX('Типы элементов'!$E:$E,MATCH($B49,'Типы элементов'!$B:$B,0)),""))</f>
        <v/>
      </c>
      <c r="F49" s="6" t="str">
        <f>IF($B49="","",IFERROR(INDEX('Типы элементов'!$F:$F,MATCH($B49,'Типы элементов'!$B:$B,0)),""))</f>
        <v/>
      </c>
      <c r="G49" s="6" t="str">
        <f>IF($B49="","",IFERROR(INDEX('Типы элементов'!$G:$G,MATCH($B49,'Типы элементов'!$B:$B,0)),""))</f>
        <v/>
      </c>
      <c r="H49" s="6" t="str">
        <f>IF($B49="","",IFERROR(INDEX('Типы элементов'!$H:$H,MATCH($B49,'Типы элементов'!$B:$B,0)),""))</f>
        <v/>
      </c>
      <c r="I49" s="6" t="str">
        <f>IF($B49="","",IFERROR(INDEX('Типы элементов'!$I:$I,MATCH($B49,'Типы элементов'!$B:$B,0)),""))</f>
        <v/>
      </c>
      <c r="J49" s="6" t="str">
        <f>IF($B49="","",IFERROR(INDEX('Типы элементов'!$J:$J,MATCH($B49,'Типы элементов'!$B:$B,0)),""))</f>
        <v/>
      </c>
      <c r="K49" s="6" t="str">
        <f>IF($B49="","",IFERROR(INDEX('Типы элементов'!$K:$K,MATCH($B49,'Типы элементов'!$B:$B,0)),""))</f>
        <v/>
      </c>
      <c r="L49" s="6" t="str">
        <f>IF($B49="","",IFERROR(INDEX('Типы элементов'!$L:$L,MATCH($B49,'Типы элементов'!$B:$B,0)),""))</f>
        <v/>
      </c>
      <c r="M49" s="6" t="str">
        <f>IF($B49="","",IFERROR(INDEX('Типы элементов'!$M:$M,MATCH($B49,'Типы элементов'!$B:$B,0)),""))</f>
        <v/>
      </c>
      <c r="N49" s="6" t="str">
        <f>IF($B49="","",IFERROR(INDEX('Типы элементов'!$N:$N,MATCH($B49,'Типы элементов'!$B:$B,0)),""))</f>
        <v/>
      </c>
      <c r="O49" s="6" t="str">
        <f>IF($B49="","",IFERROR(INDEX('Типы элементов'!$O:$O,MATCH($B49,'Типы элементов'!$B:$B,0)),""))</f>
        <v/>
      </c>
      <c r="P49" s="6" t="str">
        <f>IF($B49="","",IFERROR(INDEX('Типы элементов'!$P:$P,MATCH($B49,'Типы элементов'!$B:$B,0)),""))</f>
        <v/>
      </c>
    </row>
    <row r="50" spans="1:16">
      <c r="A50" s="6">
        <v>49</v>
      </c>
      <c r="B50" s="6"/>
      <c r="C50" s="6" t="str">
        <f>IF($B50="","",IFERROR(INDEX('Типы элементов'!$C:$C,MATCH($B50,'Типы элементов'!$B:$B,0)),""))</f>
        <v/>
      </c>
      <c r="D50" s="6" t="str">
        <f>IF($B50="","",IFERROR(INDEX('Типы элементов'!$D:$D,MATCH($B50,'Типы элементов'!$B:$B,0)),""))</f>
        <v/>
      </c>
      <c r="E50" s="6" t="str">
        <f>IF($B50="","",IFERROR(INDEX('Типы элементов'!$E:$E,MATCH($B50,'Типы элементов'!$B:$B,0)),""))</f>
        <v/>
      </c>
      <c r="F50" s="6" t="str">
        <f>IF($B50="","",IFERROR(INDEX('Типы элементов'!$F:$F,MATCH($B50,'Типы элементов'!$B:$B,0)),""))</f>
        <v/>
      </c>
      <c r="G50" s="6" t="str">
        <f>IF($B50="","",IFERROR(INDEX('Типы элементов'!$G:$G,MATCH($B50,'Типы элементов'!$B:$B,0)),""))</f>
        <v/>
      </c>
      <c r="H50" s="6" t="str">
        <f>IF($B50="","",IFERROR(INDEX('Типы элементов'!$H:$H,MATCH($B50,'Типы элементов'!$B:$B,0)),""))</f>
        <v/>
      </c>
      <c r="I50" s="6" t="str">
        <f>IF($B50="","",IFERROR(INDEX('Типы элементов'!$I:$I,MATCH($B50,'Типы элементов'!$B:$B,0)),""))</f>
        <v/>
      </c>
      <c r="J50" s="6" t="str">
        <f>IF($B50="","",IFERROR(INDEX('Типы элементов'!$J:$J,MATCH($B50,'Типы элементов'!$B:$B,0)),""))</f>
        <v/>
      </c>
      <c r="K50" s="6" t="str">
        <f>IF($B50="","",IFERROR(INDEX('Типы элементов'!$K:$K,MATCH($B50,'Типы элементов'!$B:$B,0)),""))</f>
        <v/>
      </c>
      <c r="L50" s="6" t="str">
        <f>IF($B50="","",IFERROR(INDEX('Типы элементов'!$L:$L,MATCH($B50,'Типы элементов'!$B:$B,0)),""))</f>
        <v/>
      </c>
      <c r="M50" s="6" t="str">
        <f>IF($B50="","",IFERROR(INDEX('Типы элементов'!$M:$M,MATCH($B50,'Типы элементов'!$B:$B,0)),""))</f>
        <v/>
      </c>
      <c r="N50" s="6" t="str">
        <f>IF($B50="","",IFERROR(INDEX('Типы элементов'!$N:$N,MATCH($B50,'Типы элементов'!$B:$B,0)),""))</f>
        <v/>
      </c>
      <c r="O50" s="6" t="str">
        <f>IF($B50="","",IFERROR(INDEX('Типы элементов'!$O:$O,MATCH($B50,'Типы элементов'!$B:$B,0)),""))</f>
        <v/>
      </c>
      <c r="P50" s="6" t="str">
        <f>IF($B50="","",IFERROR(INDEX('Типы элементов'!$P:$P,MATCH($B50,'Типы элементов'!$B:$B,0)),""))</f>
        <v/>
      </c>
    </row>
    <row r="51" spans="1:16">
      <c r="A51" s="6">
        <v>50</v>
      </c>
      <c r="B51" s="6"/>
      <c r="C51" s="6" t="str">
        <f>IF($B51="","",IFERROR(INDEX('Типы элементов'!$C:$C,MATCH($B51,'Типы элементов'!$B:$B,0)),""))</f>
        <v/>
      </c>
      <c r="D51" s="6" t="str">
        <f>IF($B51="","",IFERROR(INDEX('Типы элементов'!$D:$D,MATCH($B51,'Типы элементов'!$B:$B,0)),""))</f>
        <v/>
      </c>
      <c r="E51" s="6" t="str">
        <f>IF($B51="","",IFERROR(INDEX('Типы элементов'!$E:$E,MATCH($B51,'Типы элементов'!$B:$B,0)),""))</f>
        <v/>
      </c>
      <c r="F51" s="6" t="str">
        <f>IF($B51="","",IFERROR(INDEX('Типы элементов'!$F:$F,MATCH($B51,'Типы элементов'!$B:$B,0)),""))</f>
        <v/>
      </c>
      <c r="G51" s="6" t="str">
        <f>IF($B51="","",IFERROR(INDEX('Типы элементов'!$G:$G,MATCH($B51,'Типы элементов'!$B:$B,0)),""))</f>
        <v/>
      </c>
      <c r="H51" s="6" t="str">
        <f>IF($B51="","",IFERROR(INDEX('Типы элементов'!$H:$H,MATCH($B51,'Типы элементов'!$B:$B,0)),""))</f>
        <v/>
      </c>
      <c r="I51" s="6" t="str">
        <f>IF($B51="","",IFERROR(INDEX('Типы элементов'!$I:$I,MATCH($B51,'Типы элементов'!$B:$B,0)),""))</f>
        <v/>
      </c>
      <c r="J51" s="6" t="str">
        <f>IF($B51="","",IFERROR(INDEX('Типы элементов'!$J:$J,MATCH($B51,'Типы элементов'!$B:$B,0)),""))</f>
        <v/>
      </c>
      <c r="K51" s="6" t="str">
        <f>IF($B51="","",IFERROR(INDEX('Типы элементов'!$K:$K,MATCH($B51,'Типы элементов'!$B:$B,0)),""))</f>
        <v/>
      </c>
      <c r="L51" s="6" t="str">
        <f>IF($B51="","",IFERROR(INDEX('Типы элементов'!$L:$L,MATCH($B51,'Типы элементов'!$B:$B,0)),""))</f>
        <v/>
      </c>
      <c r="M51" s="6" t="str">
        <f>IF($B51="","",IFERROR(INDEX('Типы элементов'!$M:$M,MATCH($B51,'Типы элементов'!$B:$B,0)),""))</f>
        <v/>
      </c>
      <c r="N51" s="6" t="str">
        <f>IF($B51="","",IFERROR(INDEX('Типы элементов'!$N:$N,MATCH($B51,'Типы элементов'!$B:$B,0)),""))</f>
        <v/>
      </c>
      <c r="O51" s="6" t="str">
        <f>IF($B51="","",IFERROR(INDEX('Типы элементов'!$O:$O,MATCH($B51,'Типы элементов'!$B:$B,0)),""))</f>
        <v/>
      </c>
      <c r="P51" s="6" t="str">
        <f>IF($B51="","",IFERROR(INDEX('Типы элементов'!$P:$P,MATCH($B51,'Типы элементов'!$B:$B,0)),""))</f>
        <v/>
      </c>
    </row>
    <row r="52" spans="1:16">
      <c r="A52" s="6">
        <v>51</v>
      </c>
      <c r="B52" s="6"/>
      <c r="C52" s="6" t="str">
        <f>IF($B52="","",IFERROR(INDEX('Типы элементов'!$C:$C,MATCH($B52,'Типы элементов'!$B:$B,0)),""))</f>
        <v/>
      </c>
      <c r="D52" s="6" t="str">
        <f>IF($B52="","",IFERROR(INDEX('Типы элементов'!$D:$D,MATCH($B52,'Типы элементов'!$B:$B,0)),""))</f>
        <v/>
      </c>
      <c r="E52" s="6" t="str">
        <f>IF($B52="","",IFERROR(INDEX('Типы элементов'!$E:$E,MATCH($B52,'Типы элементов'!$B:$B,0)),""))</f>
        <v/>
      </c>
      <c r="F52" s="6" t="str">
        <f>IF($B52="","",IFERROR(INDEX('Типы элементов'!$F:$F,MATCH($B52,'Типы элементов'!$B:$B,0)),""))</f>
        <v/>
      </c>
      <c r="G52" s="6" t="str">
        <f>IF($B52="","",IFERROR(INDEX('Типы элементов'!$G:$G,MATCH($B52,'Типы элементов'!$B:$B,0)),""))</f>
        <v/>
      </c>
      <c r="H52" s="6" t="str">
        <f>IF($B52="","",IFERROR(INDEX('Типы элементов'!$H:$H,MATCH($B52,'Типы элементов'!$B:$B,0)),""))</f>
        <v/>
      </c>
      <c r="I52" s="6" t="str">
        <f>IF($B52="","",IFERROR(INDEX('Типы элементов'!$I:$I,MATCH($B52,'Типы элементов'!$B:$B,0)),""))</f>
        <v/>
      </c>
      <c r="J52" s="6" t="str">
        <f>IF($B52="","",IFERROR(INDEX('Типы элементов'!$J:$J,MATCH($B52,'Типы элементов'!$B:$B,0)),""))</f>
        <v/>
      </c>
      <c r="K52" s="6" t="str">
        <f>IF($B52="","",IFERROR(INDEX('Типы элементов'!$K:$K,MATCH($B52,'Типы элементов'!$B:$B,0)),""))</f>
        <v/>
      </c>
      <c r="L52" s="6" t="str">
        <f>IF($B52="","",IFERROR(INDEX('Типы элементов'!$L:$L,MATCH($B52,'Типы элементов'!$B:$B,0)),""))</f>
        <v/>
      </c>
      <c r="M52" s="6" t="str">
        <f>IF($B52="","",IFERROR(INDEX('Типы элементов'!$M:$M,MATCH($B52,'Типы элементов'!$B:$B,0)),""))</f>
        <v/>
      </c>
      <c r="N52" s="6" t="str">
        <f>IF($B52="","",IFERROR(INDEX('Типы элементов'!$N:$N,MATCH($B52,'Типы элементов'!$B:$B,0)),""))</f>
        <v/>
      </c>
      <c r="O52" s="6" t="str">
        <f>IF($B52="","",IFERROR(INDEX('Типы элементов'!$O:$O,MATCH($B52,'Типы элементов'!$B:$B,0)),""))</f>
        <v/>
      </c>
      <c r="P52" s="6" t="str">
        <f>IF($B52="","",IFERROR(INDEX('Типы элементов'!$P:$P,MATCH($B52,'Типы элементов'!$B:$B,0)),""))</f>
        <v/>
      </c>
    </row>
    <row r="53" spans="1:16">
      <c r="A53" s="6">
        <v>52</v>
      </c>
      <c r="B53" s="6"/>
      <c r="C53" s="6" t="str">
        <f>IF($B53="","",IFERROR(INDEX('Типы элементов'!$C:$C,MATCH($B53,'Типы элементов'!$B:$B,0)),""))</f>
        <v/>
      </c>
      <c r="D53" s="6" t="str">
        <f>IF($B53="","",IFERROR(INDEX('Типы элементов'!$D:$D,MATCH($B53,'Типы элементов'!$B:$B,0)),""))</f>
        <v/>
      </c>
      <c r="E53" s="6" t="str">
        <f>IF($B53="","",IFERROR(INDEX('Типы элементов'!$E:$E,MATCH($B53,'Типы элементов'!$B:$B,0)),""))</f>
        <v/>
      </c>
      <c r="F53" s="6" t="str">
        <f>IF($B53="","",IFERROR(INDEX('Типы элементов'!$F:$F,MATCH($B53,'Типы элементов'!$B:$B,0)),""))</f>
        <v/>
      </c>
      <c r="G53" s="6" t="str">
        <f>IF($B53="","",IFERROR(INDEX('Типы элементов'!$G:$G,MATCH($B53,'Типы элементов'!$B:$B,0)),""))</f>
        <v/>
      </c>
      <c r="H53" s="6" t="str">
        <f>IF($B53="","",IFERROR(INDEX('Типы элементов'!$H:$H,MATCH($B53,'Типы элементов'!$B:$B,0)),""))</f>
        <v/>
      </c>
      <c r="I53" s="6" t="str">
        <f>IF($B53="","",IFERROR(INDEX('Типы элементов'!$I:$I,MATCH($B53,'Типы элементов'!$B:$B,0)),""))</f>
        <v/>
      </c>
      <c r="J53" s="6" t="str">
        <f>IF($B53="","",IFERROR(INDEX('Типы элементов'!$J:$J,MATCH($B53,'Типы элементов'!$B:$B,0)),""))</f>
        <v/>
      </c>
      <c r="K53" s="6" t="str">
        <f>IF($B53="","",IFERROR(INDEX('Типы элементов'!$K:$K,MATCH($B53,'Типы элементов'!$B:$B,0)),""))</f>
        <v/>
      </c>
      <c r="L53" s="6" t="str">
        <f>IF($B53="","",IFERROR(INDEX('Типы элементов'!$L:$L,MATCH($B53,'Типы элементов'!$B:$B,0)),""))</f>
        <v/>
      </c>
      <c r="M53" s="6" t="str">
        <f>IF($B53="","",IFERROR(INDEX('Типы элементов'!$M:$M,MATCH($B53,'Типы элементов'!$B:$B,0)),""))</f>
        <v/>
      </c>
      <c r="N53" s="6" t="str">
        <f>IF($B53="","",IFERROR(INDEX('Типы элементов'!$N:$N,MATCH($B53,'Типы элементов'!$B:$B,0)),""))</f>
        <v/>
      </c>
      <c r="O53" s="6" t="str">
        <f>IF($B53="","",IFERROR(INDEX('Типы элементов'!$O:$O,MATCH($B53,'Типы элементов'!$B:$B,0)),""))</f>
        <v/>
      </c>
      <c r="P53" s="6" t="str">
        <f>IF($B53="","",IFERROR(INDEX('Типы элементов'!$P:$P,MATCH($B53,'Типы элементов'!$B:$B,0)),""))</f>
        <v/>
      </c>
    </row>
    <row r="54" spans="1:16">
      <c r="A54" s="6">
        <v>53</v>
      </c>
      <c r="B54" s="6"/>
      <c r="C54" s="6" t="str">
        <f>IF($B54="","",IFERROR(INDEX('Типы элементов'!$C:$C,MATCH($B54,'Типы элементов'!$B:$B,0)),""))</f>
        <v/>
      </c>
      <c r="D54" s="6" t="str">
        <f>IF($B54="","",IFERROR(INDEX('Типы элементов'!$D:$D,MATCH($B54,'Типы элементов'!$B:$B,0)),""))</f>
        <v/>
      </c>
      <c r="E54" s="6" t="str">
        <f>IF($B54="","",IFERROR(INDEX('Типы элементов'!$E:$E,MATCH($B54,'Типы элементов'!$B:$B,0)),""))</f>
        <v/>
      </c>
      <c r="F54" s="6" t="str">
        <f>IF($B54="","",IFERROR(INDEX('Типы элементов'!$F:$F,MATCH($B54,'Типы элементов'!$B:$B,0)),""))</f>
        <v/>
      </c>
      <c r="G54" s="6" t="str">
        <f>IF($B54="","",IFERROR(INDEX('Типы элементов'!$G:$G,MATCH($B54,'Типы элементов'!$B:$B,0)),""))</f>
        <v/>
      </c>
      <c r="H54" s="6" t="str">
        <f>IF($B54="","",IFERROR(INDEX('Типы элементов'!$H:$H,MATCH($B54,'Типы элементов'!$B:$B,0)),""))</f>
        <v/>
      </c>
      <c r="I54" s="6" t="str">
        <f>IF($B54="","",IFERROR(INDEX('Типы элементов'!$I:$I,MATCH($B54,'Типы элементов'!$B:$B,0)),""))</f>
        <v/>
      </c>
      <c r="J54" s="6" t="str">
        <f>IF($B54="","",IFERROR(INDEX('Типы элементов'!$J:$J,MATCH($B54,'Типы элементов'!$B:$B,0)),""))</f>
        <v/>
      </c>
      <c r="K54" s="6" t="str">
        <f>IF($B54="","",IFERROR(INDEX('Типы элементов'!$K:$K,MATCH($B54,'Типы элементов'!$B:$B,0)),""))</f>
        <v/>
      </c>
      <c r="L54" s="6" t="str">
        <f>IF($B54="","",IFERROR(INDEX('Типы элементов'!$L:$L,MATCH($B54,'Типы элементов'!$B:$B,0)),""))</f>
        <v/>
      </c>
      <c r="M54" s="6" t="str">
        <f>IF($B54="","",IFERROR(INDEX('Типы элементов'!$M:$M,MATCH($B54,'Типы элементов'!$B:$B,0)),""))</f>
        <v/>
      </c>
      <c r="N54" s="6" t="str">
        <f>IF($B54="","",IFERROR(INDEX('Типы элементов'!$N:$N,MATCH($B54,'Типы элементов'!$B:$B,0)),""))</f>
        <v/>
      </c>
      <c r="O54" s="6" t="str">
        <f>IF($B54="","",IFERROR(INDEX('Типы элементов'!$O:$O,MATCH($B54,'Типы элементов'!$B:$B,0)),""))</f>
        <v/>
      </c>
      <c r="P54" s="6" t="str">
        <f>IF($B54="","",IFERROR(INDEX('Типы элементов'!$P:$P,MATCH($B54,'Типы элементов'!$B:$B,0)),""))</f>
        <v/>
      </c>
    </row>
    <row r="55" spans="1:16">
      <c r="A55" s="6">
        <v>54</v>
      </c>
      <c r="B55" s="6"/>
      <c r="C55" s="6" t="str">
        <f>IF($B55="","",IFERROR(INDEX('Типы элементов'!$C:$C,MATCH($B55,'Типы элементов'!$B:$B,0)),""))</f>
        <v/>
      </c>
      <c r="D55" s="6" t="str">
        <f>IF($B55="","",IFERROR(INDEX('Типы элементов'!$D:$D,MATCH($B55,'Типы элементов'!$B:$B,0)),""))</f>
        <v/>
      </c>
      <c r="E55" s="6" t="str">
        <f>IF($B55="","",IFERROR(INDEX('Типы элементов'!$E:$E,MATCH($B55,'Типы элементов'!$B:$B,0)),""))</f>
        <v/>
      </c>
      <c r="F55" s="6" t="str">
        <f>IF($B55="","",IFERROR(INDEX('Типы элементов'!$F:$F,MATCH($B55,'Типы элементов'!$B:$B,0)),""))</f>
        <v/>
      </c>
      <c r="G55" s="6" t="str">
        <f>IF($B55="","",IFERROR(INDEX('Типы элементов'!$G:$G,MATCH($B55,'Типы элементов'!$B:$B,0)),""))</f>
        <v/>
      </c>
      <c r="H55" s="6" t="str">
        <f>IF($B55="","",IFERROR(INDEX('Типы элементов'!$H:$H,MATCH($B55,'Типы элементов'!$B:$B,0)),""))</f>
        <v/>
      </c>
      <c r="I55" s="6" t="str">
        <f>IF($B55="","",IFERROR(INDEX('Типы элементов'!$I:$I,MATCH($B55,'Типы элементов'!$B:$B,0)),""))</f>
        <v/>
      </c>
      <c r="J55" s="6" t="str">
        <f>IF($B55="","",IFERROR(INDEX('Типы элементов'!$J:$J,MATCH($B55,'Типы элементов'!$B:$B,0)),""))</f>
        <v/>
      </c>
      <c r="K55" s="6" t="str">
        <f>IF($B55="","",IFERROR(INDEX('Типы элементов'!$K:$K,MATCH($B55,'Типы элементов'!$B:$B,0)),""))</f>
        <v/>
      </c>
      <c r="L55" s="6" t="str">
        <f>IF($B55="","",IFERROR(INDEX('Типы элементов'!$L:$L,MATCH($B55,'Типы элементов'!$B:$B,0)),""))</f>
        <v/>
      </c>
      <c r="M55" s="6" t="str">
        <f>IF($B55="","",IFERROR(INDEX('Типы элементов'!$M:$M,MATCH($B55,'Типы элементов'!$B:$B,0)),""))</f>
        <v/>
      </c>
      <c r="N55" s="6" t="str">
        <f>IF($B55="","",IFERROR(INDEX('Типы элементов'!$N:$N,MATCH($B55,'Типы элементов'!$B:$B,0)),""))</f>
        <v/>
      </c>
      <c r="O55" s="6" t="str">
        <f>IF($B55="","",IFERROR(INDEX('Типы элементов'!$O:$O,MATCH($B55,'Типы элементов'!$B:$B,0)),""))</f>
        <v/>
      </c>
      <c r="P55" s="6" t="str">
        <f>IF($B55="","",IFERROR(INDEX('Типы элементов'!$P:$P,MATCH($B55,'Типы элементов'!$B:$B,0)),""))</f>
        <v/>
      </c>
    </row>
    <row r="56" spans="1:16">
      <c r="A56" s="6">
        <v>55</v>
      </c>
      <c r="B56" s="6"/>
      <c r="C56" s="6" t="str">
        <f>IF($B56="","",IFERROR(INDEX('Типы элементов'!$C:$C,MATCH($B56,'Типы элементов'!$B:$B,0)),""))</f>
        <v/>
      </c>
      <c r="D56" s="6" t="str">
        <f>IF($B56="","",IFERROR(INDEX('Типы элементов'!$D:$D,MATCH($B56,'Типы элементов'!$B:$B,0)),""))</f>
        <v/>
      </c>
      <c r="E56" s="6" t="str">
        <f>IF($B56="","",IFERROR(INDEX('Типы элементов'!$E:$E,MATCH($B56,'Типы элементов'!$B:$B,0)),""))</f>
        <v/>
      </c>
      <c r="F56" s="6" t="str">
        <f>IF($B56="","",IFERROR(INDEX('Типы элементов'!$F:$F,MATCH($B56,'Типы элементов'!$B:$B,0)),""))</f>
        <v/>
      </c>
      <c r="G56" s="6" t="str">
        <f>IF($B56="","",IFERROR(INDEX('Типы элементов'!$G:$G,MATCH($B56,'Типы элементов'!$B:$B,0)),""))</f>
        <v/>
      </c>
      <c r="H56" s="6" t="str">
        <f>IF($B56="","",IFERROR(INDEX('Типы элементов'!$H:$H,MATCH($B56,'Типы элементов'!$B:$B,0)),""))</f>
        <v/>
      </c>
      <c r="I56" s="6" t="str">
        <f>IF($B56="","",IFERROR(INDEX('Типы элементов'!$I:$I,MATCH($B56,'Типы элементов'!$B:$B,0)),""))</f>
        <v/>
      </c>
      <c r="J56" s="6" t="str">
        <f>IF($B56="","",IFERROR(INDEX('Типы элементов'!$J:$J,MATCH($B56,'Типы элементов'!$B:$B,0)),""))</f>
        <v/>
      </c>
      <c r="K56" s="6" t="str">
        <f>IF($B56="","",IFERROR(INDEX('Типы элементов'!$K:$K,MATCH($B56,'Типы элементов'!$B:$B,0)),""))</f>
        <v/>
      </c>
      <c r="L56" s="6" t="str">
        <f>IF($B56="","",IFERROR(INDEX('Типы элементов'!$L:$L,MATCH($B56,'Типы элементов'!$B:$B,0)),""))</f>
        <v/>
      </c>
      <c r="M56" s="6" t="str">
        <f>IF($B56="","",IFERROR(INDEX('Типы элементов'!$M:$M,MATCH($B56,'Типы элементов'!$B:$B,0)),""))</f>
        <v/>
      </c>
      <c r="N56" s="6" t="str">
        <f>IF($B56="","",IFERROR(INDEX('Типы элементов'!$N:$N,MATCH($B56,'Типы элементов'!$B:$B,0)),""))</f>
        <v/>
      </c>
      <c r="O56" s="6" t="str">
        <f>IF($B56="","",IFERROR(INDEX('Типы элементов'!$O:$O,MATCH($B56,'Типы элементов'!$B:$B,0)),""))</f>
        <v/>
      </c>
      <c r="P56" s="6" t="str">
        <f>IF($B56="","",IFERROR(INDEX('Типы элементов'!$P:$P,MATCH($B56,'Типы элементов'!$B:$B,0)),""))</f>
        <v/>
      </c>
    </row>
    <row r="57" spans="1:16">
      <c r="A57" s="6">
        <v>56</v>
      </c>
      <c r="B57" s="6"/>
      <c r="C57" s="6" t="str">
        <f>IF($B57="","",IFERROR(INDEX('Типы элементов'!$C:$C,MATCH($B57,'Типы элементов'!$B:$B,0)),""))</f>
        <v/>
      </c>
      <c r="D57" s="6" t="str">
        <f>IF($B57="","",IFERROR(INDEX('Типы элементов'!$D:$D,MATCH($B57,'Типы элементов'!$B:$B,0)),""))</f>
        <v/>
      </c>
      <c r="E57" s="6" t="str">
        <f>IF($B57="","",IFERROR(INDEX('Типы элементов'!$E:$E,MATCH($B57,'Типы элементов'!$B:$B,0)),""))</f>
        <v/>
      </c>
      <c r="F57" s="6" t="str">
        <f>IF($B57="","",IFERROR(INDEX('Типы элементов'!$F:$F,MATCH($B57,'Типы элементов'!$B:$B,0)),""))</f>
        <v/>
      </c>
      <c r="G57" s="6" t="str">
        <f>IF($B57="","",IFERROR(INDEX('Типы элементов'!$G:$G,MATCH($B57,'Типы элементов'!$B:$B,0)),""))</f>
        <v/>
      </c>
      <c r="H57" s="6" t="str">
        <f>IF($B57="","",IFERROR(INDEX('Типы элементов'!$H:$H,MATCH($B57,'Типы элементов'!$B:$B,0)),""))</f>
        <v/>
      </c>
      <c r="I57" s="6" t="str">
        <f>IF($B57="","",IFERROR(INDEX('Типы элементов'!$I:$I,MATCH($B57,'Типы элементов'!$B:$B,0)),""))</f>
        <v/>
      </c>
      <c r="J57" s="6" t="str">
        <f>IF($B57="","",IFERROR(INDEX('Типы элементов'!$J:$J,MATCH($B57,'Типы элементов'!$B:$B,0)),""))</f>
        <v/>
      </c>
      <c r="K57" s="6" t="str">
        <f>IF($B57="","",IFERROR(INDEX('Типы элементов'!$K:$K,MATCH($B57,'Типы элементов'!$B:$B,0)),""))</f>
        <v/>
      </c>
      <c r="L57" s="6" t="str">
        <f>IF($B57="","",IFERROR(INDEX('Типы элементов'!$L:$L,MATCH($B57,'Типы элементов'!$B:$B,0)),""))</f>
        <v/>
      </c>
      <c r="M57" s="6" t="str">
        <f>IF($B57="","",IFERROR(INDEX('Типы элементов'!$M:$M,MATCH($B57,'Типы элементов'!$B:$B,0)),""))</f>
        <v/>
      </c>
      <c r="N57" s="6" t="str">
        <f>IF($B57="","",IFERROR(INDEX('Типы элементов'!$N:$N,MATCH($B57,'Типы элементов'!$B:$B,0)),""))</f>
        <v/>
      </c>
      <c r="O57" s="6" t="str">
        <f>IF($B57="","",IFERROR(INDEX('Типы элементов'!$O:$O,MATCH($B57,'Типы элементов'!$B:$B,0)),""))</f>
        <v/>
      </c>
      <c r="P57" s="6" t="str">
        <f>IF($B57="","",IFERROR(INDEX('Типы элементов'!$P:$P,MATCH($B57,'Типы элементов'!$B:$B,0)),""))</f>
        <v/>
      </c>
    </row>
    <row r="58" spans="1:16">
      <c r="A58" s="6">
        <v>57</v>
      </c>
      <c r="B58" s="6"/>
      <c r="C58" s="6" t="str">
        <f>IF($B58="","",IFERROR(INDEX('Типы элементов'!$C:$C,MATCH($B58,'Типы элементов'!$B:$B,0)),""))</f>
        <v/>
      </c>
      <c r="D58" s="6" t="str">
        <f>IF($B58="","",IFERROR(INDEX('Типы элементов'!$D:$D,MATCH($B58,'Типы элементов'!$B:$B,0)),""))</f>
        <v/>
      </c>
      <c r="E58" s="6" t="str">
        <f>IF($B58="","",IFERROR(INDEX('Типы элементов'!$E:$E,MATCH($B58,'Типы элементов'!$B:$B,0)),""))</f>
        <v/>
      </c>
      <c r="F58" s="6" t="str">
        <f>IF($B58="","",IFERROR(INDEX('Типы элементов'!$F:$F,MATCH($B58,'Типы элементов'!$B:$B,0)),""))</f>
        <v/>
      </c>
      <c r="G58" s="6" t="str">
        <f>IF($B58="","",IFERROR(INDEX('Типы элементов'!$G:$G,MATCH($B58,'Типы элементов'!$B:$B,0)),""))</f>
        <v/>
      </c>
      <c r="H58" s="6" t="str">
        <f>IF($B58="","",IFERROR(INDEX('Типы элементов'!$H:$H,MATCH($B58,'Типы элементов'!$B:$B,0)),""))</f>
        <v/>
      </c>
      <c r="I58" s="6" t="str">
        <f>IF($B58="","",IFERROR(INDEX('Типы элементов'!$I:$I,MATCH($B58,'Типы элементов'!$B:$B,0)),""))</f>
        <v/>
      </c>
      <c r="J58" s="6" t="str">
        <f>IF($B58="","",IFERROR(INDEX('Типы элементов'!$J:$J,MATCH($B58,'Типы элементов'!$B:$B,0)),""))</f>
        <v/>
      </c>
      <c r="K58" s="6" t="str">
        <f>IF($B58="","",IFERROR(INDEX('Типы элементов'!$K:$K,MATCH($B58,'Типы элементов'!$B:$B,0)),""))</f>
        <v/>
      </c>
      <c r="L58" s="6" t="str">
        <f>IF($B58="","",IFERROR(INDEX('Типы элементов'!$L:$L,MATCH($B58,'Типы элементов'!$B:$B,0)),""))</f>
        <v/>
      </c>
      <c r="M58" s="6" t="str">
        <f>IF($B58="","",IFERROR(INDEX('Типы элементов'!$M:$M,MATCH($B58,'Типы элементов'!$B:$B,0)),""))</f>
        <v/>
      </c>
      <c r="N58" s="6" t="str">
        <f>IF($B58="","",IFERROR(INDEX('Типы элементов'!$N:$N,MATCH($B58,'Типы элементов'!$B:$B,0)),""))</f>
        <v/>
      </c>
      <c r="O58" s="6" t="str">
        <f>IF($B58="","",IFERROR(INDEX('Типы элементов'!$O:$O,MATCH($B58,'Типы элементов'!$B:$B,0)),""))</f>
        <v/>
      </c>
      <c r="P58" s="6" t="str">
        <f>IF($B58="","",IFERROR(INDEX('Типы элементов'!$P:$P,MATCH($B58,'Типы элементов'!$B:$B,0)),""))</f>
        <v/>
      </c>
    </row>
    <row r="59" spans="1:16">
      <c r="A59" s="6">
        <v>58</v>
      </c>
      <c r="B59" s="6"/>
      <c r="C59" s="6" t="str">
        <f>IF($B59="","",IFERROR(INDEX('Типы элементов'!$C:$C,MATCH($B59,'Типы элементов'!$B:$B,0)),""))</f>
        <v/>
      </c>
      <c r="D59" s="6" t="str">
        <f>IF($B59="","",IFERROR(INDEX('Типы элементов'!$D:$D,MATCH($B59,'Типы элементов'!$B:$B,0)),""))</f>
        <v/>
      </c>
      <c r="E59" s="6" t="str">
        <f>IF($B59="","",IFERROR(INDEX('Типы элементов'!$E:$E,MATCH($B59,'Типы элементов'!$B:$B,0)),""))</f>
        <v/>
      </c>
      <c r="F59" s="6" t="str">
        <f>IF($B59="","",IFERROR(INDEX('Типы элементов'!$F:$F,MATCH($B59,'Типы элементов'!$B:$B,0)),""))</f>
        <v/>
      </c>
      <c r="G59" s="6" t="str">
        <f>IF($B59="","",IFERROR(INDEX('Типы элементов'!$G:$G,MATCH($B59,'Типы элементов'!$B:$B,0)),""))</f>
        <v/>
      </c>
      <c r="H59" s="6" t="str">
        <f>IF($B59="","",IFERROR(INDEX('Типы элементов'!$H:$H,MATCH($B59,'Типы элементов'!$B:$B,0)),""))</f>
        <v/>
      </c>
      <c r="I59" s="6" t="str">
        <f>IF($B59="","",IFERROR(INDEX('Типы элементов'!$I:$I,MATCH($B59,'Типы элементов'!$B:$B,0)),""))</f>
        <v/>
      </c>
      <c r="J59" s="6" t="str">
        <f>IF($B59="","",IFERROR(INDEX('Типы элементов'!$J:$J,MATCH($B59,'Типы элементов'!$B:$B,0)),""))</f>
        <v/>
      </c>
      <c r="K59" s="6" t="str">
        <f>IF($B59="","",IFERROR(INDEX('Типы элементов'!$K:$K,MATCH($B59,'Типы элементов'!$B:$B,0)),""))</f>
        <v/>
      </c>
      <c r="L59" s="6" t="str">
        <f>IF($B59="","",IFERROR(INDEX('Типы элементов'!$L:$L,MATCH($B59,'Типы элементов'!$B:$B,0)),""))</f>
        <v/>
      </c>
      <c r="M59" s="6" t="str">
        <f>IF($B59="","",IFERROR(INDEX('Типы элементов'!$M:$M,MATCH($B59,'Типы элементов'!$B:$B,0)),""))</f>
        <v/>
      </c>
      <c r="N59" s="6" t="str">
        <f>IF($B59="","",IFERROR(INDEX('Типы элементов'!$N:$N,MATCH($B59,'Типы элементов'!$B:$B,0)),""))</f>
        <v/>
      </c>
      <c r="O59" s="6" t="str">
        <f>IF($B59="","",IFERROR(INDEX('Типы элементов'!$O:$O,MATCH($B59,'Типы элементов'!$B:$B,0)),""))</f>
        <v/>
      </c>
      <c r="P59" s="6" t="str">
        <f>IF($B59="","",IFERROR(INDEX('Типы элементов'!$P:$P,MATCH($B59,'Типы элементов'!$B:$B,0)),""))</f>
        <v/>
      </c>
    </row>
    <row r="60" spans="1:16">
      <c r="A60" s="6">
        <v>59</v>
      </c>
      <c r="B60" s="6"/>
      <c r="C60" s="6" t="str">
        <f>IF($B60="","",IFERROR(INDEX('Типы элементов'!$C:$C,MATCH($B60,'Типы элементов'!$B:$B,0)),""))</f>
        <v/>
      </c>
      <c r="D60" s="6" t="str">
        <f>IF($B60="","",IFERROR(INDEX('Типы элементов'!$D:$D,MATCH($B60,'Типы элементов'!$B:$B,0)),""))</f>
        <v/>
      </c>
      <c r="E60" s="6" t="str">
        <f>IF($B60="","",IFERROR(INDEX('Типы элементов'!$E:$E,MATCH($B60,'Типы элементов'!$B:$B,0)),""))</f>
        <v/>
      </c>
      <c r="F60" s="6" t="str">
        <f>IF($B60="","",IFERROR(INDEX('Типы элементов'!$F:$F,MATCH($B60,'Типы элементов'!$B:$B,0)),""))</f>
        <v/>
      </c>
      <c r="G60" s="6" t="str">
        <f>IF($B60="","",IFERROR(INDEX('Типы элементов'!$G:$G,MATCH($B60,'Типы элементов'!$B:$B,0)),""))</f>
        <v/>
      </c>
      <c r="H60" s="6" t="str">
        <f>IF($B60="","",IFERROR(INDEX('Типы элементов'!$H:$H,MATCH($B60,'Типы элементов'!$B:$B,0)),""))</f>
        <v/>
      </c>
      <c r="I60" s="6" t="str">
        <f>IF($B60="","",IFERROR(INDEX('Типы элементов'!$I:$I,MATCH($B60,'Типы элементов'!$B:$B,0)),""))</f>
        <v/>
      </c>
      <c r="J60" s="6" t="str">
        <f>IF($B60="","",IFERROR(INDEX('Типы элементов'!$J:$J,MATCH($B60,'Типы элементов'!$B:$B,0)),""))</f>
        <v/>
      </c>
      <c r="K60" s="6" t="str">
        <f>IF($B60="","",IFERROR(INDEX('Типы элементов'!$K:$K,MATCH($B60,'Типы элементов'!$B:$B,0)),""))</f>
        <v/>
      </c>
      <c r="L60" s="6" t="str">
        <f>IF($B60="","",IFERROR(INDEX('Типы элементов'!$L:$L,MATCH($B60,'Типы элементов'!$B:$B,0)),""))</f>
        <v/>
      </c>
      <c r="M60" s="6" t="str">
        <f>IF($B60="","",IFERROR(INDEX('Типы элементов'!$M:$M,MATCH($B60,'Типы элементов'!$B:$B,0)),""))</f>
        <v/>
      </c>
      <c r="N60" s="6" t="str">
        <f>IF($B60="","",IFERROR(INDEX('Типы элементов'!$N:$N,MATCH($B60,'Типы элементов'!$B:$B,0)),""))</f>
        <v/>
      </c>
      <c r="O60" s="6" t="str">
        <f>IF($B60="","",IFERROR(INDEX('Типы элементов'!$O:$O,MATCH($B60,'Типы элементов'!$B:$B,0)),""))</f>
        <v/>
      </c>
      <c r="P60" s="6" t="str">
        <f>IF($B60="","",IFERROR(INDEX('Типы элементов'!$P:$P,MATCH($B60,'Типы элементов'!$B:$B,0)),""))</f>
        <v/>
      </c>
    </row>
    <row r="61" spans="1:16">
      <c r="A61" s="6">
        <v>60</v>
      </c>
      <c r="B61" s="6"/>
      <c r="C61" s="6" t="str">
        <f>IF($B61="","",IFERROR(INDEX('Типы элементов'!$C:$C,MATCH($B61,'Типы элементов'!$B:$B,0)),""))</f>
        <v/>
      </c>
      <c r="D61" s="6" t="str">
        <f>IF($B61="","",IFERROR(INDEX('Типы элементов'!$D:$D,MATCH($B61,'Типы элементов'!$B:$B,0)),""))</f>
        <v/>
      </c>
      <c r="E61" s="6" t="str">
        <f>IF($B61="","",IFERROR(INDEX('Типы элементов'!$E:$E,MATCH($B61,'Типы элементов'!$B:$B,0)),""))</f>
        <v/>
      </c>
      <c r="F61" s="6" t="str">
        <f>IF($B61="","",IFERROR(INDEX('Типы элементов'!$F:$F,MATCH($B61,'Типы элементов'!$B:$B,0)),""))</f>
        <v/>
      </c>
      <c r="G61" s="6" t="str">
        <f>IF($B61="","",IFERROR(INDEX('Типы элементов'!$G:$G,MATCH($B61,'Типы элементов'!$B:$B,0)),""))</f>
        <v/>
      </c>
      <c r="H61" s="6" t="str">
        <f>IF($B61="","",IFERROR(INDEX('Типы элементов'!$H:$H,MATCH($B61,'Типы элементов'!$B:$B,0)),""))</f>
        <v/>
      </c>
      <c r="I61" s="6" t="str">
        <f>IF($B61="","",IFERROR(INDEX('Типы элементов'!$I:$I,MATCH($B61,'Типы элементов'!$B:$B,0)),""))</f>
        <v/>
      </c>
      <c r="J61" s="6" t="str">
        <f>IF($B61="","",IFERROR(INDEX('Типы элементов'!$J:$J,MATCH($B61,'Типы элементов'!$B:$B,0)),""))</f>
        <v/>
      </c>
      <c r="K61" s="6" t="str">
        <f>IF($B61="","",IFERROR(INDEX('Типы элементов'!$K:$K,MATCH($B61,'Типы элементов'!$B:$B,0)),""))</f>
        <v/>
      </c>
      <c r="L61" s="6" t="str">
        <f>IF($B61="","",IFERROR(INDEX('Типы элементов'!$L:$L,MATCH($B61,'Типы элементов'!$B:$B,0)),""))</f>
        <v/>
      </c>
      <c r="M61" s="6" t="str">
        <f>IF($B61="","",IFERROR(INDEX('Типы элементов'!$M:$M,MATCH($B61,'Типы элементов'!$B:$B,0)),""))</f>
        <v/>
      </c>
      <c r="N61" s="6" t="str">
        <f>IF($B61="","",IFERROR(INDEX('Типы элементов'!$N:$N,MATCH($B61,'Типы элементов'!$B:$B,0)),""))</f>
        <v/>
      </c>
      <c r="O61" s="6" t="str">
        <f>IF($B61="","",IFERROR(INDEX('Типы элементов'!$O:$O,MATCH($B61,'Типы элементов'!$B:$B,0)),""))</f>
        <v/>
      </c>
      <c r="P61" s="6" t="str">
        <f>IF($B61="","",IFERROR(INDEX('Типы элементов'!$P:$P,MATCH($B61,'Типы элементов'!$B:$B,0)),""))</f>
        <v/>
      </c>
    </row>
    <row r="62" spans="1:16">
      <c r="A62" s="6">
        <v>61</v>
      </c>
      <c r="B62" s="6"/>
      <c r="C62" s="6" t="str">
        <f>IF($B62="","",IFERROR(INDEX('Типы элементов'!$C:$C,MATCH($B62,'Типы элементов'!$B:$B,0)),""))</f>
        <v/>
      </c>
      <c r="D62" s="6" t="str">
        <f>IF($B62="","",IFERROR(INDEX('Типы элементов'!$D:$D,MATCH($B62,'Типы элементов'!$B:$B,0)),""))</f>
        <v/>
      </c>
      <c r="E62" s="6" t="str">
        <f>IF($B62="","",IFERROR(INDEX('Типы элементов'!$E:$E,MATCH($B62,'Типы элементов'!$B:$B,0)),""))</f>
        <v/>
      </c>
      <c r="F62" s="6" t="str">
        <f>IF($B62="","",IFERROR(INDEX('Типы элементов'!$F:$F,MATCH($B62,'Типы элементов'!$B:$B,0)),""))</f>
        <v/>
      </c>
      <c r="G62" s="6" t="str">
        <f>IF($B62="","",IFERROR(INDEX('Типы элементов'!$G:$G,MATCH($B62,'Типы элементов'!$B:$B,0)),""))</f>
        <v/>
      </c>
      <c r="H62" s="6" t="str">
        <f>IF($B62="","",IFERROR(INDEX('Типы элементов'!$H:$H,MATCH($B62,'Типы элементов'!$B:$B,0)),""))</f>
        <v/>
      </c>
      <c r="I62" s="6" t="str">
        <f>IF($B62="","",IFERROR(INDEX('Типы элементов'!$I:$I,MATCH($B62,'Типы элементов'!$B:$B,0)),""))</f>
        <v/>
      </c>
      <c r="J62" s="6" t="str">
        <f>IF($B62="","",IFERROR(INDEX('Типы элементов'!$J:$J,MATCH($B62,'Типы элементов'!$B:$B,0)),""))</f>
        <v/>
      </c>
      <c r="K62" s="6" t="str">
        <f>IF($B62="","",IFERROR(INDEX('Типы элементов'!$K:$K,MATCH($B62,'Типы элементов'!$B:$B,0)),""))</f>
        <v/>
      </c>
      <c r="L62" s="6" t="str">
        <f>IF($B62="","",IFERROR(INDEX('Типы элементов'!$L:$L,MATCH($B62,'Типы элементов'!$B:$B,0)),""))</f>
        <v/>
      </c>
      <c r="M62" s="6" t="str">
        <f>IF($B62="","",IFERROR(INDEX('Типы элементов'!$M:$M,MATCH($B62,'Типы элементов'!$B:$B,0)),""))</f>
        <v/>
      </c>
      <c r="N62" s="6" t="str">
        <f>IF($B62="","",IFERROR(INDEX('Типы элементов'!$N:$N,MATCH($B62,'Типы элементов'!$B:$B,0)),""))</f>
        <v/>
      </c>
      <c r="O62" s="6" t="str">
        <f>IF($B62="","",IFERROR(INDEX('Типы элементов'!$O:$O,MATCH($B62,'Типы элементов'!$B:$B,0)),""))</f>
        <v/>
      </c>
      <c r="P62" s="6" t="str">
        <f>IF($B62="","",IFERROR(INDEX('Типы элементов'!$P:$P,MATCH($B62,'Типы элементов'!$B:$B,0)),""))</f>
        <v/>
      </c>
    </row>
    <row r="63" spans="1:16">
      <c r="A63" s="6">
        <v>62</v>
      </c>
      <c r="B63" s="6"/>
      <c r="C63" s="6" t="str">
        <f>IF($B63="","",IFERROR(INDEX('Типы элементов'!$C:$C,MATCH($B63,'Типы элементов'!$B:$B,0)),""))</f>
        <v/>
      </c>
      <c r="D63" s="6" t="str">
        <f>IF($B63="","",IFERROR(INDEX('Типы элементов'!$D:$D,MATCH($B63,'Типы элементов'!$B:$B,0)),""))</f>
        <v/>
      </c>
      <c r="E63" s="6" t="str">
        <f>IF($B63="","",IFERROR(INDEX('Типы элементов'!$E:$E,MATCH($B63,'Типы элементов'!$B:$B,0)),""))</f>
        <v/>
      </c>
      <c r="F63" s="6" t="str">
        <f>IF($B63="","",IFERROR(INDEX('Типы элементов'!$F:$F,MATCH($B63,'Типы элементов'!$B:$B,0)),""))</f>
        <v/>
      </c>
      <c r="G63" s="6" t="str">
        <f>IF($B63="","",IFERROR(INDEX('Типы элементов'!$G:$G,MATCH($B63,'Типы элементов'!$B:$B,0)),""))</f>
        <v/>
      </c>
      <c r="H63" s="6" t="str">
        <f>IF($B63="","",IFERROR(INDEX('Типы элементов'!$H:$H,MATCH($B63,'Типы элементов'!$B:$B,0)),""))</f>
        <v/>
      </c>
      <c r="I63" s="6" t="str">
        <f>IF($B63="","",IFERROR(INDEX('Типы элементов'!$I:$I,MATCH($B63,'Типы элементов'!$B:$B,0)),""))</f>
        <v/>
      </c>
      <c r="J63" s="6" t="str">
        <f>IF($B63="","",IFERROR(INDEX('Типы элементов'!$J:$J,MATCH($B63,'Типы элементов'!$B:$B,0)),""))</f>
        <v/>
      </c>
      <c r="K63" s="6" t="str">
        <f>IF($B63="","",IFERROR(INDEX('Типы элементов'!$K:$K,MATCH($B63,'Типы элементов'!$B:$B,0)),""))</f>
        <v/>
      </c>
      <c r="L63" s="6" t="str">
        <f>IF($B63="","",IFERROR(INDEX('Типы элементов'!$L:$L,MATCH($B63,'Типы элементов'!$B:$B,0)),""))</f>
        <v/>
      </c>
      <c r="M63" s="6" t="str">
        <f>IF($B63="","",IFERROR(INDEX('Типы элементов'!$M:$M,MATCH($B63,'Типы элементов'!$B:$B,0)),""))</f>
        <v/>
      </c>
      <c r="N63" s="6" t="str">
        <f>IF($B63="","",IFERROR(INDEX('Типы элементов'!$N:$N,MATCH($B63,'Типы элементов'!$B:$B,0)),""))</f>
        <v/>
      </c>
      <c r="O63" s="6" t="str">
        <f>IF($B63="","",IFERROR(INDEX('Типы элементов'!$O:$O,MATCH($B63,'Типы элементов'!$B:$B,0)),""))</f>
        <v/>
      </c>
      <c r="P63" s="6" t="str">
        <f>IF($B63="","",IFERROR(INDEX('Типы элементов'!$P:$P,MATCH($B63,'Типы элементов'!$B:$B,0)),""))</f>
        <v/>
      </c>
    </row>
    <row r="64" spans="1:16">
      <c r="A64" s="6">
        <v>63</v>
      </c>
      <c r="B64" s="6"/>
      <c r="C64" s="6" t="str">
        <f>IF($B64="","",IFERROR(INDEX('Типы элементов'!$C:$C,MATCH($B64,'Типы элементов'!$B:$B,0)),""))</f>
        <v/>
      </c>
      <c r="D64" s="6" t="str">
        <f>IF($B64="","",IFERROR(INDEX('Типы элементов'!$D:$D,MATCH($B64,'Типы элементов'!$B:$B,0)),""))</f>
        <v/>
      </c>
      <c r="E64" s="6" t="str">
        <f>IF($B64="","",IFERROR(INDEX('Типы элементов'!$E:$E,MATCH($B64,'Типы элементов'!$B:$B,0)),""))</f>
        <v/>
      </c>
      <c r="F64" s="6" t="str">
        <f>IF($B64="","",IFERROR(INDEX('Типы элементов'!$F:$F,MATCH($B64,'Типы элементов'!$B:$B,0)),""))</f>
        <v/>
      </c>
      <c r="G64" s="6" t="str">
        <f>IF($B64="","",IFERROR(INDEX('Типы элементов'!$G:$G,MATCH($B64,'Типы элементов'!$B:$B,0)),""))</f>
        <v/>
      </c>
      <c r="H64" s="6" t="str">
        <f>IF($B64="","",IFERROR(INDEX('Типы элементов'!$H:$H,MATCH($B64,'Типы элементов'!$B:$B,0)),""))</f>
        <v/>
      </c>
      <c r="I64" s="6" t="str">
        <f>IF($B64="","",IFERROR(INDEX('Типы элементов'!$I:$I,MATCH($B64,'Типы элементов'!$B:$B,0)),""))</f>
        <v/>
      </c>
      <c r="J64" s="6" t="str">
        <f>IF($B64="","",IFERROR(INDEX('Типы элементов'!$J:$J,MATCH($B64,'Типы элементов'!$B:$B,0)),""))</f>
        <v/>
      </c>
      <c r="K64" s="6" t="str">
        <f>IF($B64="","",IFERROR(INDEX('Типы элементов'!$K:$K,MATCH($B64,'Типы элементов'!$B:$B,0)),""))</f>
        <v/>
      </c>
      <c r="L64" s="6" t="str">
        <f>IF($B64="","",IFERROR(INDEX('Типы элементов'!$L:$L,MATCH($B64,'Типы элементов'!$B:$B,0)),""))</f>
        <v/>
      </c>
      <c r="M64" s="6" t="str">
        <f>IF($B64="","",IFERROR(INDEX('Типы элементов'!$M:$M,MATCH($B64,'Типы элементов'!$B:$B,0)),""))</f>
        <v/>
      </c>
      <c r="N64" s="6" t="str">
        <f>IF($B64="","",IFERROR(INDEX('Типы элементов'!$N:$N,MATCH($B64,'Типы элементов'!$B:$B,0)),""))</f>
        <v/>
      </c>
      <c r="O64" s="6" t="str">
        <f>IF($B64="","",IFERROR(INDEX('Типы элементов'!$O:$O,MATCH($B64,'Типы элементов'!$B:$B,0)),""))</f>
        <v/>
      </c>
      <c r="P64" s="6" t="str">
        <f>IF($B64="","",IFERROR(INDEX('Типы элементов'!$P:$P,MATCH($B64,'Типы элементов'!$B:$B,0)),""))</f>
        <v/>
      </c>
    </row>
    <row r="65" spans="1:16">
      <c r="A65" s="6">
        <v>64</v>
      </c>
      <c r="B65" s="6"/>
      <c r="C65" s="6" t="str">
        <f>IF($B65="","",IFERROR(INDEX('Типы элементов'!$C:$C,MATCH($B65,'Типы элементов'!$B:$B,0)),""))</f>
        <v/>
      </c>
      <c r="D65" s="6" t="str">
        <f>IF($B65="","",IFERROR(INDEX('Типы элементов'!$D:$D,MATCH($B65,'Типы элементов'!$B:$B,0)),""))</f>
        <v/>
      </c>
      <c r="E65" s="6" t="str">
        <f>IF($B65="","",IFERROR(INDEX('Типы элементов'!$E:$E,MATCH($B65,'Типы элементов'!$B:$B,0)),""))</f>
        <v/>
      </c>
      <c r="F65" s="6" t="str">
        <f>IF($B65="","",IFERROR(INDEX('Типы элементов'!$F:$F,MATCH($B65,'Типы элементов'!$B:$B,0)),""))</f>
        <v/>
      </c>
      <c r="G65" s="6" t="str">
        <f>IF($B65="","",IFERROR(INDEX('Типы элементов'!$G:$G,MATCH($B65,'Типы элементов'!$B:$B,0)),""))</f>
        <v/>
      </c>
      <c r="H65" s="6" t="str">
        <f>IF($B65="","",IFERROR(INDEX('Типы элементов'!$H:$H,MATCH($B65,'Типы элементов'!$B:$B,0)),""))</f>
        <v/>
      </c>
      <c r="I65" s="6" t="str">
        <f>IF($B65="","",IFERROR(INDEX('Типы элементов'!$I:$I,MATCH($B65,'Типы элементов'!$B:$B,0)),""))</f>
        <v/>
      </c>
      <c r="J65" s="6" t="str">
        <f>IF($B65="","",IFERROR(INDEX('Типы элементов'!$J:$J,MATCH($B65,'Типы элементов'!$B:$B,0)),""))</f>
        <v/>
      </c>
      <c r="K65" s="6" t="str">
        <f>IF($B65="","",IFERROR(INDEX('Типы элементов'!$K:$K,MATCH($B65,'Типы элементов'!$B:$B,0)),""))</f>
        <v/>
      </c>
      <c r="L65" s="6" t="str">
        <f>IF($B65="","",IFERROR(INDEX('Типы элементов'!$L:$L,MATCH($B65,'Типы элементов'!$B:$B,0)),""))</f>
        <v/>
      </c>
      <c r="M65" s="6" t="str">
        <f>IF($B65="","",IFERROR(INDEX('Типы элементов'!$M:$M,MATCH($B65,'Типы элементов'!$B:$B,0)),""))</f>
        <v/>
      </c>
      <c r="N65" s="6" t="str">
        <f>IF($B65="","",IFERROR(INDEX('Типы элементов'!$N:$N,MATCH($B65,'Типы элементов'!$B:$B,0)),""))</f>
        <v/>
      </c>
      <c r="O65" s="6" t="str">
        <f>IF($B65="","",IFERROR(INDEX('Типы элементов'!$O:$O,MATCH($B65,'Типы элементов'!$B:$B,0)),""))</f>
        <v/>
      </c>
      <c r="P65" s="6" t="str">
        <f>IF($B65="","",IFERROR(INDEX('Типы элементов'!$P:$P,MATCH($B65,'Типы элементов'!$B:$B,0)),""))</f>
        <v/>
      </c>
    </row>
    <row r="66" spans="1:16">
      <c r="A66" s="6">
        <v>65</v>
      </c>
      <c r="B66" s="6"/>
      <c r="C66" s="6" t="str">
        <f>IF($B66="","",IFERROR(INDEX('Типы элементов'!$C:$C,MATCH($B66,'Типы элементов'!$B:$B,0)),""))</f>
        <v/>
      </c>
      <c r="D66" s="6" t="str">
        <f>IF($B66="","",IFERROR(INDEX('Типы элементов'!$D:$D,MATCH($B66,'Типы элементов'!$B:$B,0)),""))</f>
        <v/>
      </c>
      <c r="E66" s="6" t="str">
        <f>IF($B66="","",IFERROR(INDEX('Типы элементов'!$E:$E,MATCH($B66,'Типы элементов'!$B:$B,0)),""))</f>
        <v/>
      </c>
      <c r="F66" s="6" t="str">
        <f>IF($B66="","",IFERROR(INDEX('Типы элементов'!$F:$F,MATCH($B66,'Типы элементов'!$B:$B,0)),""))</f>
        <v/>
      </c>
      <c r="G66" s="6" t="str">
        <f>IF($B66="","",IFERROR(INDEX('Типы элементов'!$G:$G,MATCH($B66,'Типы элементов'!$B:$B,0)),""))</f>
        <v/>
      </c>
      <c r="H66" s="6" t="str">
        <f>IF($B66="","",IFERROR(INDEX('Типы элементов'!$H:$H,MATCH($B66,'Типы элементов'!$B:$B,0)),""))</f>
        <v/>
      </c>
      <c r="I66" s="6" t="str">
        <f>IF($B66="","",IFERROR(INDEX('Типы элементов'!$I:$I,MATCH($B66,'Типы элементов'!$B:$B,0)),""))</f>
        <v/>
      </c>
      <c r="J66" s="6" t="str">
        <f>IF($B66="","",IFERROR(INDEX('Типы элементов'!$J:$J,MATCH($B66,'Типы элементов'!$B:$B,0)),""))</f>
        <v/>
      </c>
      <c r="K66" s="6" t="str">
        <f>IF($B66="","",IFERROR(INDEX('Типы элементов'!$K:$K,MATCH($B66,'Типы элементов'!$B:$B,0)),""))</f>
        <v/>
      </c>
      <c r="L66" s="6" t="str">
        <f>IF($B66="","",IFERROR(INDEX('Типы элементов'!$L:$L,MATCH($B66,'Типы элементов'!$B:$B,0)),""))</f>
        <v/>
      </c>
      <c r="M66" s="6" t="str">
        <f>IF($B66="","",IFERROR(INDEX('Типы элементов'!$M:$M,MATCH($B66,'Типы элементов'!$B:$B,0)),""))</f>
        <v/>
      </c>
      <c r="N66" s="6" t="str">
        <f>IF($B66="","",IFERROR(INDEX('Типы элементов'!$N:$N,MATCH($B66,'Типы элементов'!$B:$B,0)),""))</f>
        <v/>
      </c>
      <c r="O66" s="6" t="str">
        <f>IF($B66="","",IFERROR(INDEX('Типы элементов'!$O:$O,MATCH($B66,'Типы элементов'!$B:$B,0)),""))</f>
        <v/>
      </c>
      <c r="P66" s="6" t="str">
        <f>IF($B66="","",IFERROR(INDEX('Типы элементов'!$P:$P,MATCH($B66,'Типы элементов'!$B:$B,0)),""))</f>
        <v/>
      </c>
    </row>
    <row r="67" spans="1:16">
      <c r="A67" s="6">
        <v>66</v>
      </c>
      <c r="B67" s="6"/>
      <c r="C67" s="6" t="str">
        <f>IF($B67="","",IFERROR(INDEX('Типы элементов'!$C:$C,MATCH($B67,'Типы элементов'!$B:$B,0)),""))</f>
        <v/>
      </c>
      <c r="D67" s="6" t="str">
        <f>IF($B67="","",IFERROR(INDEX('Типы элементов'!$D:$D,MATCH($B67,'Типы элементов'!$B:$B,0)),""))</f>
        <v/>
      </c>
      <c r="E67" s="6" t="str">
        <f>IF($B67="","",IFERROR(INDEX('Типы элементов'!$E:$E,MATCH($B67,'Типы элементов'!$B:$B,0)),""))</f>
        <v/>
      </c>
      <c r="F67" s="6" t="str">
        <f>IF($B67="","",IFERROR(INDEX('Типы элементов'!$F:$F,MATCH($B67,'Типы элементов'!$B:$B,0)),""))</f>
        <v/>
      </c>
      <c r="G67" s="6" t="str">
        <f>IF($B67="","",IFERROR(INDEX('Типы элементов'!$G:$G,MATCH($B67,'Типы элементов'!$B:$B,0)),""))</f>
        <v/>
      </c>
      <c r="H67" s="6" t="str">
        <f>IF($B67="","",IFERROR(INDEX('Типы элементов'!$H:$H,MATCH($B67,'Типы элементов'!$B:$B,0)),""))</f>
        <v/>
      </c>
      <c r="I67" s="6" t="str">
        <f>IF($B67="","",IFERROR(INDEX('Типы элементов'!$I:$I,MATCH($B67,'Типы элементов'!$B:$B,0)),""))</f>
        <v/>
      </c>
      <c r="J67" s="6" t="str">
        <f>IF($B67="","",IFERROR(INDEX('Типы элементов'!$J:$J,MATCH($B67,'Типы элементов'!$B:$B,0)),""))</f>
        <v/>
      </c>
      <c r="K67" s="6" t="str">
        <f>IF($B67="","",IFERROR(INDEX('Типы элементов'!$K:$K,MATCH($B67,'Типы элементов'!$B:$B,0)),""))</f>
        <v/>
      </c>
      <c r="L67" s="6" t="str">
        <f>IF($B67="","",IFERROR(INDEX('Типы элементов'!$L:$L,MATCH($B67,'Типы элементов'!$B:$B,0)),""))</f>
        <v/>
      </c>
      <c r="M67" s="6" t="str">
        <f>IF($B67="","",IFERROR(INDEX('Типы элементов'!$M:$M,MATCH($B67,'Типы элементов'!$B:$B,0)),""))</f>
        <v/>
      </c>
      <c r="N67" s="6" t="str">
        <f>IF($B67="","",IFERROR(INDEX('Типы элементов'!$N:$N,MATCH($B67,'Типы элементов'!$B:$B,0)),""))</f>
        <v/>
      </c>
      <c r="O67" s="6" t="str">
        <f>IF($B67="","",IFERROR(INDEX('Типы элементов'!$O:$O,MATCH($B67,'Типы элементов'!$B:$B,0)),""))</f>
        <v/>
      </c>
      <c r="P67" s="6" t="str">
        <f>IF($B67="","",IFERROR(INDEX('Типы элементов'!$P:$P,MATCH($B67,'Типы элементов'!$B:$B,0)),""))</f>
        <v/>
      </c>
    </row>
    <row r="68" spans="1:16">
      <c r="A68" s="6">
        <v>67</v>
      </c>
      <c r="B68" s="6"/>
      <c r="C68" s="6" t="str">
        <f>IF($B68="","",IFERROR(INDEX('Типы элементов'!$C:$C,MATCH($B68,'Типы элементов'!$B:$B,0)),""))</f>
        <v/>
      </c>
      <c r="D68" s="6" t="str">
        <f>IF($B68="","",IFERROR(INDEX('Типы элементов'!$D:$D,MATCH($B68,'Типы элементов'!$B:$B,0)),""))</f>
        <v/>
      </c>
      <c r="E68" s="6" t="str">
        <f>IF($B68="","",IFERROR(INDEX('Типы элементов'!$E:$E,MATCH($B68,'Типы элементов'!$B:$B,0)),""))</f>
        <v/>
      </c>
      <c r="F68" s="6" t="str">
        <f>IF($B68="","",IFERROR(INDEX('Типы элементов'!$F:$F,MATCH($B68,'Типы элементов'!$B:$B,0)),""))</f>
        <v/>
      </c>
      <c r="G68" s="6" t="str">
        <f>IF($B68="","",IFERROR(INDEX('Типы элементов'!$G:$G,MATCH($B68,'Типы элементов'!$B:$B,0)),""))</f>
        <v/>
      </c>
      <c r="H68" s="6" t="str">
        <f>IF($B68="","",IFERROR(INDEX('Типы элементов'!$H:$H,MATCH($B68,'Типы элементов'!$B:$B,0)),""))</f>
        <v/>
      </c>
      <c r="I68" s="6" t="str">
        <f>IF($B68="","",IFERROR(INDEX('Типы элементов'!$I:$I,MATCH($B68,'Типы элементов'!$B:$B,0)),""))</f>
        <v/>
      </c>
      <c r="J68" s="6" t="str">
        <f>IF($B68="","",IFERROR(INDEX('Типы элементов'!$J:$J,MATCH($B68,'Типы элементов'!$B:$B,0)),""))</f>
        <v/>
      </c>
      <c r="K68" s="6" t="str">
        <f>IF($B68="","",IFERROR(INDEX('Типы элементов'!$K:$K,MATCH($B68,'Типы элементов'!$B:$B,0)),""))</f>
        <v/>
      </c>
      <c r="L68" s="6" t="str">
        <f>IF($B68="","",IFERROR(INDEX('Типы элементов'!$L:$L,MATCH($B68,'Типы элементов'!$B:$B,0)),""))</f>
        <v/>
      </c>
      <c r="M68" s="6" t="str">
        <f>IF($B68="","",IFERROR(INDEX('Типы элементов'!$M:$M,MATCH($B68,'Типы элементов'!$B:$B,0)),""))</f>
        <v/>
      </c>
      <c r="N68" s="6" t="str">
        <f>IF($B68="","",IFERROR(INDEX('Типы элементов'!$N:$N,MATCH($B68,'Типы элементов'!$B:$B,0)),""))</f>
        <v/>
      </c>
      <c r="O68" s="6" t="str">
        <f>IF($B68="","",IFERROR(INDEX('Типы элементов'!$O:$O,MATCH($B68,'Типы элементов'!$B:$B,0)),""))</f>
        <v/>
      </c>
      <c r="P68" s="6" t="str">
        <f>IF($B68="","",IFERROR(INDEX('Типы элементов'!$P:$P,MATCH($B68,'Типы элементов'!$B:$B,0)),""))</f>
        <v/>
      </c>
    </row>
    <row r="69" spans="1:16">
      <c r="A69" s="6">
        <v>68</v>
      </c>
      <c r="B69" s="6"/>
      <c r="C69" s="6" t="str">
        <f>IF($B69="","",IFERROR(INDEX('Типы элементов'!$C:$C,MATCH($B69,'Типы элементов'!$B:$B,0)),""))</f>
        <v/>
      </c>
      <c r="D69" s="6" t="str">
        <f>IF($B69="","",IFERROR(INDEX('Типы элементов'!$D:$D,MATCH($B69,'Типы элементов'!$B:$B,0)),""))</f>
        <v/>
      </c>
      <c r="E69" s="6" t="str">
        <f>IF($B69="","",IFERROR(INDEX('Типы элементов'!$E:$E,MATCH($B69,'Типы элементов'!$B:$B,0)),""))</f>
        <v/>
      </c>
      <c r="F69" s="6" t="str">
        <f>IF($B69="","",IFERROR(INDEX('Типы элементов'!$F:$F,MATCH($B69,'Типы элементов'!$B:$B,0)),""))</f>
        <v/>
      </c>
      <c r="G69" s="6" t="str">
        <f>IF($B69="","",IFERROR(INDEX('Типы элементов'!$G:$G,MATCH($B69,'Типы элементов'!$B:$B,0)),""))</f>
        <v/>
      </c>
      <c r="H69" s="6" t="str">
        <f>IF($B69="","",IFERROR(INDEX('Типы элементов'!$H:$H,MATCH($B69,'Типы элементов'!$B:$B,0)),""))</f>
        <v/>
      </c>
      <c r="I69" s="6" t="str">
        <f>IF($B69="","",IFERROR(INDEX('Типы элементов'!$I:$I,MATCH($B69,'Типы элементов'!$B:$B,0)),""))</f>
        <v/>
      </c>
      <c r="J69" s="6" t="str">
        <f>IF($B69="","",IFERROR(INDEX('Типы элементов'!$J:$J,MATCH($B69,'Типы элементов'!$B:$B,0)),""))</f>
        <v/>
      </c>
      <c r="K69" s="6" t="str">
        <f>IF($B69="","",IFERROR(INDEX('Типы элементов'!$K:$K,MATCH($B69,'Типы элементов'!$B:$B,0)),""))</f>
        <v/>
      </c>
      <c r="L69" s="6" t="str">
        <f>IF($B69="","",IFERROR(INDEX('Типы элементов'!$L:$L,MATCH($B69,'Типы элементов'!$B:$B,0)),""))</f>
        <v/>
      </c>
      <c r="M69" s="6" t="str">
        <f>IF($B69="","",IFERROR(INDEX('Типы элементов'!$M:$M,MATCH($B69,'Типы элементов'!$B:$B,0)),""))</f>
        <v/>
      </c>
      <c r="N69" s="6" t="str">
        <f>IF($B69="","",IFERROR(INDEX('Типы элементов'!$N:$N,MATCH($B69,'Типы элементов'!$B:$B,0)),""))</f>
        <v/>
      </c>
      <c r="O69" s="6" t="str">
        <f>IF($B69="","",IFERROR(INDEX('Типы элементов'!$O:$O,MATCH($B69,'Типы элементов'!$B:$B,0)),""))</f>
        <v/>
      </c>
      <c r="P69" s="6" t="str">
        <f>IF($B69="","",IFERROR(INDEX('Типы элементов'!$P:$P,MATCH($B69,'Типы элементов'!$B:$B,0)),""))</f>
        <v/>
      </c>
    </row>
    <row r="70" spans="1:16">
      <c r="A70" s="6">
        <v>69</v>
      </c>
      <c r="B70" s="6"/>
      <c r="C70" s="6" t="str">
        <f>IF($B70="","",IFERROR(INDEX('Типы элементов'!$C:$C,MATCH($B70,'Типы элементов'!$B:$B,0)),""))</f>
        <v/>
      </c>
      <c r="D70" s="6" t="str">
        <f>IF($B70="","",IFERROR(INDEX('Типы элементов'!$D:$D,MATCH($B70,'Типы элементов'!$B:$B,0)),""))</f>
        <v/>
      </c>
      <c r="E70" s="6" t="str">
        <f>IF($B70="","",IFERROR(INDEX('Типы элементов'!$E:$E,MATCH($B70,'Типы элементов'!$B:$B,0)),""))</f>
        <v/>
      </c>
      <c r="F70" s="6" t="str">
        <f>IF($B70="","",IFERROR(INDEX('Типы элементов'!$F:$F,MATCH($B70,'Типы элементов'!$B:$B,0)),""))</f>
        <v/>
      </c>
      <c r="G70" s="6" t="str">
        <f>IF($B70="","",IFERROR(INDEX('Типы элементов'!$G:$G,MATCH($B70,'Типы элементов'!$B:$B,0)),""))</f>
        <v/>
      </c>
      <c r="H70" s="6" t="str">
        <f>IF($B70="","",IFERROR(INDEX('Типы элементов'!$H:$H,MATCH($B70,'Типы элементов'!$B:$B,0)),""))</f>
        <v/>
      </c>
      <c r="I70" s="6" t="str">
        <f>IF($B70="","",IFERROR(INDEX('Типы элементов'!$I:$I,MATCH($B70,'Типы элементов'!$B:$B,0)),""))</f>
        <v/>
      </c>
      <c r="J70" s="6" t="str">
        <f>IF($B70="","",IFERROR(INDEX('Типы элементов'!$J:$J,MATCH($B70,'Типы элементов'!$B:$B,0)),""))</f>
        <v/>
      </c>
      <c r="K70" s="6" t="str">
        <f>IF($B70="","",IFERROR(INDEX('Типы элементов'!$K:$K,MATCH($B70,'Типы элементов'!$B:$B,0)),""))</f>
        <v/>
      </c>
      <c r="L70" s="6" t="str">
        <f>IF($B70="","",IFERROR(INDEX('Типы элементов'!$L:$L,MATCH($B70,'Типы элементов'!$B:$B,0)),""))</f>
        <v/>
      </c>
      <c r="M70" s="6" t="str">
        <f>IF($B70="","",IFERROR(INDEX('Типы элементов'!$M:$M,MATCH($B70,'Типы элементов'!$B:$B,0)),""))</f>
        <v/>
      </c>
      <c r="N70" s="6" t="str">
        <f>IF($B70="","",IFERROR(INDEX('Типы элементов'!$N:$N,MATCH($B70,'Типы элементов'!$B:$B,0)),""))</f>
        <v/>
      </c>
      <c r="O70" s="6" t="str">
        <f>IF($B70="","",IFERROR(INDEX('Типы элементов'!$O:$O,MATCH($B70,'Типы элементов'!$B:$B,0)),""))</f>
        <v/>
      </c>
      <c r="P70" s="6" t="str">
        <f>IF($B70="","",IFERROR(INDEX('Типы элементов'!$P:$P,MATCH($B70,'Типы элементов'!$B:$B,0)),""))</f>
        <v/>
      </c>
    </row>
    <row r="71" spans="1:16">
      <c r="A71" s="6">
        <v>70</v>
      </c>
      <c r="B71" s="6"/>
      <c r="C71" s="6" t="str">
        <f>IF($B71="","",IFERROR(INDEX('Типы элементов'!$C:$C,MATCH($B71,'Типы элементов'!$B:$B,0)),""))</f>
        <v/>
      </c>
      <c r="D71" s="6" t="str">
        <f>IF($B71="","",IFERROR(INDEX('Типы элементов'!$D:$D,MATCH($B71,'Типы элементов'!$B:$B,0)),""))</f>
        <v/>
      </c>
      <c r="E71" s="6" t="str">
        <f>IF($B71="","",IFERROR(INDEX('Типы элементов'!$E:$E,MATCH($B71,'Типы элементов'!$B:$B,0)),""))</f>
        <v/>
      </c>
      <c r="F71" s="6" t="str">
        <f>IF($B71="","",IFERROR(INDEX('Типы элементов'!$F:$F,MATCH($B71,'Типы элементов'!$B:$B,0)),""))</f>
        <v/>
      </c>
      <c r="G71" s="6" t="str">
        <f>IF($B71="","",IFERROR(INDEX('Типы элементов'!$G:$G,MATCH($B71,'Типы элементов'!$B:$B,0)),""))</f>
        <v/>
      </c>
      <c r="H71" s="6" t="str">
        <f>IF($B71="","",IFERROR(INDEX('Типы элементов'!$H:$H,MATCH($B71,'Типы элементов'!$B:$B,0)),""))</f>
        <v/>
      </c>
      <c r="I71" s="6" t="str">
        <f>IF($B71="","",IFERROR(INDEX('Типы элементов'!$I:$I,MATCH($B71,'Типы элементов'!$B:$B,0)),""))</f>
        <v/>
      </c>
      <c r="J71" s="6" t="str">
        <f>IF($B71="","",IFERROR(INDEX('Типы элементов'!$J:$J,MATCH($B71,'Типы элементов'!$B:$B,0)),""))</f>
        <v/>
      </c>
      <c r="K71" s="6" t="str">
        <f>IF($B71="","",IFERROR(INDEX('Типы элементов'!$K:$K,MATCH($B71,'Типы элементов'!$B:$B,0)),""))</f>
        <v/>
      </c>
      <c r="L71" s="6" t="str">
        <f>IF($B71="","",IFERROR(INDEX('Типы элементов'!$L:$L,MATCH($B71,'Типы элементов'!$B:$B,0)),""))</f>
        <v/>
      </c>
      <c r="M71" s="6" t="str">
        <f>IF($B71="","",IFERROR(INDEX('Типы элементов'!$M:$M,MATCH($B71,'Типы элементов'!$B:$B,0)),""))</f>
        <v/>
      </c>
      <c r="N71" s="6" t="str">
        <f>IF($B71="","",IFERROR(INDEX('Типы элементов'!$N:$N,MATCH($B71,'Типы элементов'!$B:$B,0)),""))</f>
        <v/>
      </c>
      <c r="O71" s="6" t="str">
        <f>IF($B71="","",IFERROR(INDEX('Типы элементов'!$O:$O,MATCH($B71,'Типы элементов'!$B:$B,0)),""))</f>
        <v/>
      </c>
      <c r="P71" s="6" t="str">
        <f>IF($B71="","",IFERROR(INDEX('Типы элементов'!$P:$P,MATCH($B71,'Типы элементов'!$B:$B,0)),""))</f>
        <v/>
      </c>
    </row>
    <row r="72" spans="1:16">
      <c r="A72" s="6">
        <v>71</v>
      </c>
      <c r="B72" s="6"/>
      <c r="C72" s="6" t="str">
        <f>IF($B72="","",IFERROR(INDEX('Типы элементов'!$C:$C,MATCH($B72,'Типы элементов'!$B:$B,0)),""))</f>
        <v/>
      </c>
      <c r="D72" s="6" t="str">
        <f>IF($B72="","",IFERROR(INDEX('Типы элементов'!$D:$D,MATCH($B72,'Типы элементов'!$B:$B,0)),""))</f>
        <v/>
      </c>
      <c r="E72" s="6" t="str">
        <f>IF($B72="","",IFERROR(INDEX('Типы элементов'!$E:$E,MATCH($B72,'Типы элементов'!$B:$B,0)),""))</f>
        <v/>
      </c>
      <c r="F72" s="6" t="str">
        <f>IF($B72="","",IFERROR(INDEX('Типы элементов'!$F:$F,MATCH($B72,'Типы элементов'!$B:$B,0)),""))</f>
        <v/>
      </c>
      <c r="G72" s="6" t="str">
        <f>IF($B72="","",IFERROR(INDEX('Типы элементов'!$G:$G,MATCH($B72,'Типы элементов'!$B:$B,0)),""))</f>
        <v/>
      </c>
      <c r="H72" s="6" t="str">
        <f>IF($B72="","",IFERROR(INDEX('Типы элементов'!$H:$H,MATCH($B72,'Типы элементов'!$B:$B,0)),""))</f>
        <v/>
      </c>
      <c r="I72" s="6" t="str">
        <f>IF($B72="","",IFERROR(INDEX('Типы элементов'!$I:$I,MATCH($B72,'Типы элементов'!$B:$B,0)),""))</f>
        <v/>
      </c>
      <c r="J72" s="6" t="str">
        <f>IF($B72="","",IFERROR(INDEX('Типы элементов'!$J:$J,MATCH($B72,'Типы элементов'!$B:$B,0)),""))</f>
        <v/>
      </c>
      <c r="K72" s="6" t="str">
        <f>IF($B72="","",IFERROR(INDEX('Типы элементов'!$K:$K,MATCH($B72,'Типы элементов'!$B:$B,0)),""))</f>
        <v/>
      </c>
      <c r="L72" s="6" t="str">
        <f>IF($B72="","",IFERROR(INDEX('Типы элементов'!$L:$L,MATCH($B72,'Типы элементов'!$B:$B,0)),""))</f>
        <v/>
      </c>
      <c r="M72" s="6" t="str">
        <f>IF($B72="","",IFERROR(INDEX('Типы элементов'!$M:$M,MATCH($B72,'Типы элементов'!$B:$B,0)),""))</f>
        <v/>
      </c>
      <c r="N72" s="6" t="str">
        <f>IF($B72="","",IFERROR(INDEX('Типы элементов'!$N:$N,MATCH($B72,'Типы элементов'!$B:$B,0)),""))</f>
        <v/>
      </c>
      <c r="O72" s="6" t="str">
        <f>IF($B72="","",IFERROR(INDEX('Типы элементов'!$O:$O,MATCH($B72,'Типы элементов'!$B:$B,0)),""))</f>
        <v/>
      </c>
      <c r="P72" s="6" t="str">
        <f>IF($B72="","",IFERROR(INDEX('Типы элементов'!$P:$P,MATCH($B72,'Типы элементов'!$B:$B,0)),""))</f>
        <v/>
      </c>
    </row>
    <row r="73" spans="1:16">
      <c r="A73" s="6">
        <v>72</v>
      </c>
      <c r="B73" s="6"/>
      <c r="C73" s="6" t="str">
        <f>IF($B73="","",IFERROR(INDEX('Типы элементов'!$C:$C,MATCH($B73,'Типы элементов'!$B:$B,0)),""))</f>
        <v/>
      </c>
      <c r="D73" s="6" t="str">
        <f>IF($B73="","",IFERROR(INDEX('Типы элементов'!$D:$D,MATCH($B73,'Типы элементов'!$B:$B,0)),""))</f>
        <v/>
      </c>
      <c r="E73" s="6" t="str">
        <f>IF($B73="","",IFERROR(INDEX('Типы элементов'!$E:$E,MATCH($B73,'Типы элементов'!$B:$B,0)),""))</f>
        <v/>
      </c>
      <c r="F73" s="6" t="str">
        <f>IF($B73="","",IFERROR(INDEX('Типы элементов'!$F:$F,MATCH($B73,'Типы элементов'!$B:$B,0)),""))</f>
        <v/>
      </c>
      <c r="G73" s="6" t="str">
        <f>IF($B73="","",IFERROR(INDEX('Типы элементов'!$G:$G,MATCH($B73,'Типы элементов'!$B:$B,0)),""))</f>
        <v/>
      </c>
      <c r="H73" s="6" t="str">
        <f>IF($B73="","",IFERROR(INDEX('Типы элементов'!$H:$H,MATCH($B73,'Типы элементов'!$B:$B,0)),""))</f>
        <v/>
      </c>
      <c r="I73" s="6" t="str">
        <f>IF($B73="","",IFERROR(INDEX('Типы элементов'!$I:$I,MATCH($B73,'Типы элементов'!$B:$B,0)),""))</f>
        <v/>
      </c>
      <c r="J73" s="6" t="str">
        <f>IF($B73="","",IFERROR(INDEX('Типы элементов'!$J:$J,MATCH($B73,'Типы элементов'!$B:$B,0)),""))</f>
        <v/>
      </c>
      <c r="K73" s="6" t="str">
        <f>IF($B73="","",IFERROR(INDEX('Типы элементов'!$K:$K,MATCH($B73,'Типы элементов'!$B:$B,0)),""))</f>
        <v/>
      </c>
      <c r="L73" s="6" t="str">
        <f>IF($B73="","",IFERROR(INDEX('Типы элементов'!$L:$L,MATCH($B73,'Типы элементов'!$B:$B,0)),""))</f>
        <v/>
      </c>
      <c r="M73" s="6" t="str">
        <f>IF($B73="","",IFERROR(INDEX('Типы элементов'!$M:$M,MATCH($B73,'Типы элементов'!$B:$B,0)),""))</f>
        <v/>
      </c>
      <c r="N73" s="6" t="str">
        <f>IF($B73="","",IFERROR(INDEX('Типы элементов'!$N:$N,MATCH($B73,'Типы элементов'!$B:$B,0)),""))</f>
        <v/>
      </c>
      <c r="O73" s="6" t="str">
        <f>IF($B73="","",IFERROR(INDEX('Типы элементов'!$O:$O,MATCH($B73,'Типы элементов'!$B:$B,0)),""))</f>
        <v/>
      </c>
      <c r="P73" s="6" t="str">
        <f>IF($B73="","",IFERROR(INDEX('Типы элементов'!$P:$P,MATCH($B73,'Типы элементов'!$B:$B,0)),""))</f>
        <v/>
      </c>
    </row>
    <row r="74" spans="1:16">
      <c r="A74" s="6">
        <v>73</v>
      </c>
      <c r="B74" s="6"/>
      <c r="C74" s="6" t="str">
        <f>IF($B74="","",IFERROR(INDEX('Типы элементов'!$C:$C,MATCH($B74,'Типы элементов'!$B:$B,0)),""))</f>
        <v/>
      </c>
      <c r="D74" s="6" t="str">
        <f>IF($B74="","",IFERROR(INDEX('Типы элементов'!$D:$D,MATCH($B74,'Типы элементов'!$B:$B,0)),""))</f>
        <v/>
      </c>
      <c r="E74" s="6" t="str">
        <f>IF($B74="","",IFERROR(INDEX('Типы элементов'!$E:$E,MATCH($B74,'Типы элементов'!$B:$B,0)),""))</f>
        <v/>
      </c>
      <c r="F74" s="6" t="str">
        <f>IF($B74="","",IFERROR(INDEX('Типы элементов'!$F:$F,MATCH($B74,'Типы элементов'!$B:$B,0)),""))</f>
        <v/>
      </c>
      <c r="G74" s="6" t="str">
        <f>IF($B74="","",IFERROR(INDEX('Типы элементов'!$G:$G,MATCH($B74,'Типы элементов'!$B:$B,0)),""))</f>
        <v/>
      </c>
      <c r="H74" s="6" t="str">
        <f>IF($B74="","",IFERROR(INDEX('Типы элементов'!$H:$H,MATCH($B74,'Типы элементов'!$B:$B,0)),""))</f>
        <v/>
      </c>
      <c r="I74" s="6" t="str">
        <f>IF($B74="","",IFERROR(INDEX('Типы элементов'!$I:$I,MATCH($B74,'Типы элементов'!$B:$B,0)),""))</f>
        <v/>
      </c>
      <c r="J74" s="6" t="str">
        <f>IF($B74="","",IFERROR(INDEX('Типы элементов'!$J:$J,MATCH($B74,'Типы элементов'!$B:$B,0)),""))</f>
        <v/>
      </c>
      <c r="K74" s="6" t="str">
        <f>IF($B74="","",IFERROR(INDEX('Типы элементов'!$K:$K,MATCH($B74,'Типы элементов'!$B:$B,0)),""))</f>
        <v/>
      </c>
      <c r="L74" s="6" t="str">
        <f>IF($B74="","",IFERROR(INDEX('Типы элементов'!$L:$L,MATCH($B74,'Типы элементов'!$B:$B,0)),""))</f>
        <v/>
      </c>
      <c r="M74" s="6" t="str">
        <f>IF($B74="","",IFERROR(INDEX('Типы элементов'!$M:$M,MATCH($B74,'Типы элементов'!$B:$B,0)),""))</f>
        <v/>
      </c>
      <c r="N74" s="6" t="str">
        <f>IF($B74="","",IFERROR(INDEX('Типы элементов'!$N:$N,MATCH($B74,'Типы элементов'!$B:$B,0)),""))</f>
        <v/>
      </c>
      <c r="O74" s="6" t="str">
        <f>IF($B74="","",IFERROR(INDEX('Типы элементов'!$O:$O,MATCH($B74,'Типы элементов'!$B:$B,0)),""))</f>
        <v/>
      </c>
      <c r="P74" s="6" t="str">
        <f>IF($B74="","",IFERROR(INDEX('Типы элементов'!$P:$P,MATCH($B74,'Типы элементов'!$B:$B,0)),""))</f>
        <v/>
      </c>
    </row>
    <row r="75" spans="1:16">
      <c r="A75" s="6">
        <v>74</v>
      </c>
      <c r="B75" s="6"/>
      <c r="C75" s="6" t="str">
        <f>IF($B75="","",IFERROR(INDEX('Типы элементов'!$C:$C,MATCH($B75,'Типы элементов'!$B:$B,0)),""))</f>
        <v/>
      </c>
      <c r="D75" s="6" t="str">
        <f>IF($B75="","",IFERROR(INDEX('Типы элементов'!$D:$D,MATCH($B75,'Типы элементов'!$B:$B,0)),""))</f>
        <v/>
      </c>
      <c r="E75" s="6" t="str">
        <f>IF($B75="","",IFERROR(INDEX('Типы элементов'!$E:$E,MATCH($B75,'Типы элементов'!$B:$B,0)),""))</f>
        <v/>
      </c>
      <c r="F75" s="6" t="str">
        <f>IF($B75="","",IFERROR(INDEX('Типы элементов'!$F:$F,MATCH($B75,'Типы элементов'!$B:$B,0)),""))</f>
        <v/>
      </c>
      <c r="G75" s="6" t="str">
        <f>IF($B75="","",IFERROR(INDEX('Типы элементов'!$G:$G,MATCH($B75,'Типы элементов'!$B:$B,0)),""))</f>
        <v/>
      </c>
      <c r="H75" s="6" t="str">
        <f>IF($B75="","",IFERROR(INDEX('Типы элементов'!$H:$H,MATCH($B75,'Типы элементов'!$B:$B,0)),""))</f>
        <v/>
      </c>
      <c r="I75" s="6" t="str">
        <f>IF($B75="","",IFERROR(INDEX('Типы элементов'!$I:$I,MATCH($B75,'Типы элементов'!$B:$B,0)),""))</f>
        <v/>
      </c>
      <c r="J75" s="6" t="str">
        <f>IF($B75="","",IFERROR(INDEX('Типы элементов'!$J:$J,MATCH($B75,'Типы элементов'!$B:$B,0)),""))</f>
        <v/>
      </c>
      <c r="K75" s="6" t="str">
        <f>IF($B75="","",IFERROR(INDEX('Типы элементов'!$K:$K,MATCH($B75,'Типы элементов'!$B:$B,0)),""))</f>
        <v/>
      </c>
      <c r="L75" s="6" t="str">
        <f>IF($B75="","",IFERROR(INDEX('Типы элементов'!$L:$L,MATCH($B75,'Типы элементов'!$B:$B,0)),""))</f>
        <v/>
      </c>
      <c r="M75" s="6" t="str">
        <f>IF($B75="","",IFERROR(INDEX('Типы элементов'!$M:$M,MATCH($B75,'Типы элементов'!$B:$B,0)),""))</f>
        <v/>
      </c>
      <c r="N75" s="6" t="str">
        <f>IF($B75="","",IFERROR(INDEX('Типы элементов'!$N:$N,MATCH($B75,'Типы элементов'!$B:$B,0)),""))</f>
        <v/>
      </c>
      <c r="O75" s="6" t="str">
        <f>IF($B75="","",IFERROR(INDEX('Типы элементов'!$O:$O,MATCH($B75,'Типы элементов'!$B:$B,0)),""))</f>
        <v/>
      </c>
      <c r="P75" s="6" t="str">
        <f>IF($B75="","",IFERROR(INDEX('Типы элементов'!$P:$P,MATCH($B75,'Типы элементов'!$B:$B,0)),""))</f>
        <v/>
      </c>
    </row>
    <row r="76" spans="1:16">
      <c r="A76" s="6">
        <v>75</v>
      </c>
      <c r="B76" s="6"/>
      <c r="C76" s="6" t="str">
        <f>IF($B76="","",IFERROR(INDEX('Типы элементов'!$C:$C,MATCH($B76,'Типы элементов'!$B:$B,0)),""))</f>
        <v/>
      </c>
      <c r="D76" s="6" t="str">
        <f>IF($B76="","",IFERROR(INDEX('Типы элементов'!$D:$D,MATCH($B76,'Типы элементов'!$B:$B,0)),""))</f>
        <v/>
      </c>
      <c r="E76" s="6" t="str">
        <f>IF($B76="","",IFERROR(INDEX('Типы элементов'!$E:$E,MATCH($B76,'Типы элементов'!$B:$B,0)),""))</f>
        <v/>
      </c>
      <c r="F76" s="6" t="str">
        <f>IF($B76="","",IFERROR(INDEX('Типы элементов'!$F:$F,MATCH($B76,'Типы элементов'!$B:$B,0)),""))</f>
        <v/>
      </c>
      <c r="G76" s="6" t="str">
        <f>IF($B76="","",IFERROR(INDEX('Типы элементов'!$G:$G,MATCH($B76,'Типы элементов'!$B:$B,0)),""))</f>
        <v/>
      </c>
      <c r="H76" s="6" t="str">
        <f>IF($B76="","",IFERROR(INDEX('Типы элементов'!$H:$H,MATCH($B76,'Типы элементов'!$B:$B,0)),""))</f>
        <v/>
      </c>
      <c r="I76" s="6" t="str">
        <f>IF($B76="","",IFERROR(INDEX('Типы элементов'!$I:$I,MATCH($B76,'Типы элементов'!$B:$B,0)),""))</f>
        <v/>
      </c>
      <c r="J76" s="6" t="str">
        <f>IF($B76="","",IFERROR(INDEX('Типы элементов'!$J:$J,MATCH($B76,'Типы элементов'!$B:$B,0)),""))</f>
        <v/>
      </c>
      <c r="K76" s="6" t="str">
        <f>IF($B76="","",IFERROR(INDEX('Типы элементов'!$K:$K,MATCH($B76,'Типы элементов'!$B:$B,0)),""))</f>
        <v/>
      </c>
      <c r="L76" s="6" t="str">
        <f>IF($B76="","",IFERROR(INDEX('Типы элементов'!$L:$L,MATCH($B76,'Типы элементов'!$B:$B,0)),""))</f>
        <v/>
      </c>
      <c r="M76" s="6" t="str">
        <f>IF($B76="","",IFERROR(INDEX('Типы элементов'!$M:$M,MATCH($B76,'Типы элементов'!$B:$B,0)),""))</f>
        <v/>
      </c>
      <c r="N76" s="6" t="str">
        <f>IF($B76="","",IFERROR(INDEX('Типы элементов'!$N:$N,MATCH($B76,'Типы элементов'!$B:$B,0)),""))</f>
        <v/>
      </c>
      <c r="O76" s="6" t="str">
        <f>IF($B76="","",IFERROR(INDEX('Типы элементов'!$O:$O,MATCH($B76,'Типы элементов'!$B:$B,0)),""))</f>
        <v/>
      </c>
      <c r="P76" s="6" t="str">
        <f>IF($B76="","",IFERROR(INDEX('Типы элементов'!$P:$P,MATCH($B76,'Типы элементов'!$B:$B,0)),""))</f>
        <v/>
      </c>
    </row>
    <row r="77" spans="1:16">
      <c r="A77" s="6">
        <v>76</v>
      </c>
      <c r="B77" s="6"/>
      <c r="C77" s="6" t="str">
        <f>IF($B77="","",IFERROR(INDEX('Типы элементов'!$C:$C,MATCH($B77,'Типы элементов'!$B:$B,0)),""))</f>
        <v/>
      </c>
      <c r="D77" s="6" t="str">
        <f>IF($B77="","",IFERROR(INDEX('Типы элементов'!$D:$D,MATCH($B77,'Типы элементов'!$B:$B,0)),""))</f>
        <v/>
      </c>
      <c r="E77" s="6" t="str">
        <f>IF($B77="","",IFERROR(INDEX('Типы элементов'!$E:$E,MATCH($B77,'Типы элементов'!$B:$B,0)),""))</f>
        <v/>
      </c>
      <c r="F77" s="6" t="str">
        <f>IF($B77="","",IFERROR(INDEX('Типы элементов'!$F:$F,MATCH($B77,'Типы элементов'!$B:$B,0)),""))</f>
        <v/>
      </c>
      <c r="G77" s="6" t="str">
        <f>IF($B77="","",IFERROR(INDEX('Типы элементов'!$G:$G,MATCH($B77,'Типы элементов'!$B:$B,0)),""))</f>
        <v/>
      </c>
      <c r="H77" s="6" t="str">
        <f>IF($B77="","",IFERROR(INDEX('Типы элементов'!$H:$H,MATCH($B77,'Типы элементов'!$B:$B,0)),""))</f>
        <v/>
      </c>
      <c r="I77" s="6" t="str">
        <f>IF($B77="","",IFERROR(INDEX('Типы элементов'!$I:$I,MATCH($B77,'Типы элементов'!$B:$B,0)),""))</f>
        <v/>
      </c>
      <c r="J77" s="6" t="str">
        <f>IF($B77="","",IFERROR(INDEX('Типы элементов'!$J:$J,MATCH($B77,'Типы элементов'!$B:$B,0)),""))</f>
        <v/>
      </c>
      <c r="K77" s="6" t="str">
        <f>IF($B77="","",IFERROR(INDEX('Типы элементов'!$K:$K,MATCH($B77,'Типы элементов'!$B:$B,0)),""))</f>
        <v/>
      </c>
      <c r="L77" s="6" t="str">
        <f>IF($B77="","",IFERROR(INDEX('Типы элементов'!$L:$L,MATCH($B77,'Типы элементов'!$B:$B,0)),""))</f>
        <v/>
      </c>
      <c r="M77" s="6" t="str">
        <f>IF($B77="","",IFERROR(INDEX('Типы элементов'!$M:$M,MATCH($B77,'Типы элементов'!$B:$B,0)),""))</f>
        <v/>
      </c>
      <c r="N77" s="6" t="str">
        <f>IF($B77="","",IFERROR(INDEX('Типы элементов'!$N:$N,MATCH($B77,'Типы элементов'!$B:$B,0)),""))</f>
        <v/>
      </c>
      <c r="O77" s="6" t="str">
        <f>IF($B77="","",IFERROR(INDEX('Типы элементов'!$O:$O,MATCH($B77,'Типы элементов'!$B:$B,0)),""))</f>
        <v/>
      </c>
      <c r="P77" s="6" t="str">
        <f>IF($B77="","",IFERROR(INDEX('Типы элементов'!$P:$P,MATCH($B77,'Типы элементов'!$B:$B,0)),""))</f>
        <v/>
      </c>
    </row>
    <row r="78" spans="1:16">
      <c r="A78" s="6">
        <v>77</v>
      </c>
      <c r="B78" s="6"/>
      <c r="C78" s="6" t="str">
        <f>IF($B78="","",IFERROR(INDEX('Типы элементов'!$C:$C,MATCH($B78,'Типы элементов'!$B:$B,0)),""))</f>
        <v/>
      </c>
      <c r="D78" s="6" t="str">
        <f>IF($B78="","",IFERROR(INDEX('Типы элементов'!$D:$D,MATCH($B78,'Типы элементов'!$B:$B,0)),""))</f>
        <v/>
      </c>
      <c r="E78" s="6" t="str">
        <f>IF($B78="","",IFERROR(INDEX('Типы элементов'!$E:$E,MATCH($B78,'Типы элементов'!$B:$B,0)),""))</f>
        <v/>
      </c>
      <c r="F78" s="6" t="str">
        <f>IF($B78="","",IFERROR(INDEX('Типы элементов'!$F:$F,MATCH($B78,'Типы элементов'!$B:$B,0)),""))</f>
        <v/>
      </c>
      <c r="G78" s="6" t="str">
        <f>IF($B78="","",IFERROR(INDEX('Типы элементов'!$G:$G,MATCH($B78,'Типы элементов'!$B:$B,0)),""))</f>
        <v/>
      </c>
      <c r="H78" s="6" t="str">
        <f>IF($B78="","",IFERROR(INDEX('Типы элементов'!$H:$H,MATCH($B78,'Типы элементов'!$B:$B,0)),""))</f>
        <v/>
      </c>
      <c r="I78" s="6" t="str">
        <f>IF($B78="","",IFERROR(INDEX('Типы элементов'!$I:$I,MATCH($B78,'Типы элементов'!$B:$B,0)),""))</f>
        <v/>
      </c>
      <c r="J78" s="6" t="str">
        <f>IF($B78="","",IFERROR(INDEX('Типы элементов'!$J:$J,MATCH($B78,'Типы элементов'!$B:$B,0)),""))</f>
        <v/>
      </c>
      <c r="K78" s="6" t="str">
        <f>IF($B78="","",IFERROR(INDEX('Типы элементов'!$K:$K,MATCH($B78,'Типы элементов'!$B:$B,0)),""))</f>
        <v/>
      </c>
      <c r="L78" s="6" t="str">
        <f>IF($B78="","",IFERROR(INDEX('Типы элементов'!$L:$L,MATCH($B78,'Типы элементов'!$B:$B,0)),""))</f>
        <v/>
      </c>
      <c r="M78" s="6" t="str">
        <f>IF($B78="","",IFERROR(INDEX('Типы элементов'!$M:$M,MATCH($B78,'Типы элементов'!$B:$B,0)),""))</f>
        <v/>
      </c>
      <c r="N78" s="6" t="str">
        <f>IF($B78="","",IFERROR(INDEX('Типы элементов'!$N:$N,MATCH($B78,'Типы элементов'!$B:$B,0)),""))</f>
        <v/>
      </c>
      <c r="O78" s="6" t="str">
        <f>IF($B78="","",IFERROR(INDEX('Типы элементов'!$O:$O,MATCH($B78,'Типы элементов'!$B:$B,0)),""))</f>
        <v/>
      </c>
      <c r="P78" s="6" t="str">
        <f>IF($B78="","",IFERROR(INDEX('Типы элементов'!$P:$P,MATCH($B78,'Типы элементов'!$B:$B,0)),""))</f>
        <v/>
      </c>
    </row>
    <row r="79" spans="1:16">
      <c r="A79" s="6">
        <v>78</v>
      </c>
      <c r="B79" s="6"/>
      <c r="C79" s="6" t="str">
        <f>IF($B79="","",IFERROR(INDEX('Типы элементов'!$C:$C,MATCH($B79,'Типы элементов'!$B:$B,0)),""))</f>
        <v/>
      </c>
      <c r="D79" s="6" t="str">
        <f>IF($B79="","",IFERROR(INDEX('Типы элементов'!$D:$D,MATCH($B79,'Типы элементов'!$B:$B,0)),""))</f>
        <v/>
      </c>
      <c r="E79" s="6" t="str">
        <f>IF($B79="","",IFERROR(INDEX('Типы элементов'!$E:$E,MATCH($B79,'Типы элементов'!$B:$B,0)),""))</f>
        <v/>
      </c>
      <c r="F79" s="6" t="str">
        <f>IF($B79="","",IFERROR(INDEX('Типы элементов'!$F:$F,MATCH($B79,'Типы элементов'!$B:$B,0)),""))</f>
        <v/>
      </c>
      <c r="G79" s="6" t="str">
        <f>IF($B79="","",IFERROR(INDEX('Типы элементов'!$G:$G,MATCH($B79,'Типы элементов'!$B:$B,0)),""))</f>
        <v/>
      </c>
      <c r="H79" s="6" t="str">
        <f>IF($B79="","",IFERROR(INDEX('Типы элементов'!$H:$H,MATCH($B79,'Типы элементов'!$B:$B,0)),""))</f>
        <v/>
      </c>
      <c r="I79" s="6" t="str">
        <f>IF($B79="","",IFERROR(INDEX('Типы элементов'!$I:$I,MATCH($B79,'Типы элементов'!$B:$B,0)),""))</f>
        <v/>
      </c>
      <c r="J79" s="6" t="str">
        <f>IF($B79="","",IFERROR(INDEX('Типы элементов'!$J:$J,MATCH($B79,'Типы элементов'!$B:$B,0)),""))</f>
        <v/>
      </c>
      <c r="K79" s="6" t="str">
        <f>IF($B79="","",IFERROR(INDEX('Типы элементов'!$K:$K,MATCH($B79,'Типы элементов'!$B:$B,0)),""))</f>
        <v/>
      </c>
      <c r="L79" s="6" t="str">
        <f>IF($B79="","",IFERROR(INDEX('Типы элементов'!$L:$L,MATCH($B79,'Типы элементов'!$B:$B,0)),""))</f>
        <v/>
      </c>
      <c r="M79" s="6" t="str">
        <f>IF($B79="","",IFERROR(INDEX('Типы элементов'!$M:$M,MATCH($B79,'Типы элементов'!$B:$B,0)),""))</f>
        <v/>
      </c>
      <c r="N79" s="6" t="str">
        <f>IF($B79="","",IFERROR(INDEX('Типы элементов'!$N:$N,MATCH($B79,'Типы элементов'!$B:$B,0)),""))</f>
        <v/>
      </c>
      <c r="O79" s="6" t="str">
        <f>IF($B79="","",IFERROR(INDEX('Типы элементов'!$O:$O,MATCH($B79,'Типы элементов'!$B:$B,0)),""))</f>
        <v/>
      </c>
      <c r="P79" s="6" t="str">
        <f>IF($B79="","",IFERROR(INDEX('Типы элементов'!$P:$P,MATCH($B79,'Типы элементов'!$B:$B,0)),""))</f>
        <v/>
      </c>
    </row>
    <row r="80" spans="1:16">
      <c r="A80" s="6">
        <v>79</v>
      </c>
      <c r="B80" s="6"/>
      <c r="C80" s="6" t="str">
        <f>IF($B80="","",IFERROR(INDEX('Типы элементов'!$C:$C,MATCH($B80,'Типы элементов'!$B:$B,0)),""))</f>
        <v/>
      </c>
      <c r="D80" s="6" t="str">
        <f>IF($B80="","",IFERROR(INDEX('Типы элементов'!$D:$D,MATCH($B80,'Типы элементов'!$B:$B,0)),""))</f>
        <v/>
      </c>
      <c r="E80" s="6" t="str">
        <f>IF($B80="","",IFERROR(INDEX('Типы элементов'!$E:$E,MATCH($B80,'Типы элементов'!$B:$B,0)),""))</f>
        <v/>
      </c>
      <c r="F80" s="6" t="str">
        <f>IF($B80="","",IFERROR(INDEX('Типы элементов'!$F:$F,MATCH($B80,'Типы элементов'!$B:$B,0)),""))</f>
        <v/>
      </c>
      <c r="G80" s="6" t="str">
        <f>IF($B80="","",IFERROR(INDEX('Типы элементов'!$G:$G,MATCH($B80,'Типы элементов'!$B:$B,0)),""))</f>
        <v/>
      </c>
      <c r="H80" s="6" t="str">
        <f>IF($B80="","",IFERROR(INDEX('Типы элементов'!$H:$H,MATCH($B80,'Типы элементов'!$B:$B,0)),""))</f>
        <v/>
      </c>
      <c r="I80" s="6" t="str">
        <f>IF($B80="","",IFERROR(INDEX('Типы элементов'!$I:$I,MATCH($B80,'Типы элементов'!$B:$B,0)),""))</f>
        <v/>
      </c>
      <c r="J80" s="6" t="str">
        <f>IF($B80="","",IFERROR(INDEX('Типы элементов'!$J:$J,MATCH($B80,'Типы элементов'!$B:$B,0)),""))</f>
        <v/>
      </c>
      <c r="K80" s="6" t="str">
        <f>IF($B80="","",IFERROR(INDEX('Типы элементов'!$K:$K,MATCH($B80,'Типы элементов'!$B:$B,0)),""))</f>
        <v/>
      </c>
      <c r="L80" s="6" t="str">
        <f>IF($B80="","",IFERROR(INDEX('Типы элементов'!$L:$L,MATCH($B80,'Типы элементов'!$B:$B,0)),""))</f>
        <v/>
      </c>
      <c r="M80" s="6" t="str">
        <f>IF($B80="","",IFERROR(INDEX('Типы элементов'!$M:$M,MATCH($B80,'Типы элементов'!$B:$B,0)),""))</f>
        <v/>
      </c>
      <c r="N80" s="6" t="str">
        <f>IF($B80="","",IFERROR(INDEX('Типы элементов'!$N:$N,MATCH($B80,'Типы элементов'!$B:$B,0)),""))</f>
        <v/>
      </c>
      <c r="O80" s="6" t="str">
        <f>IF($B80="","",IFERROR(INDEX('Типы элементов'!$O:$O,MATCH($B80,'Типы элементов'!$B:$B,0)),""))</f>
        <v/>
      </c>
      <c r="P80" s="6" t="str">
        <f>IF($B80="","",IFERROR(INDEX('Типы элементов'!$P:$P,MATCH($B80,'Типы элементов'!$B:$B,0)),""))</f>
        <v/>
      </c>
    </row>
    <row r="81" spans="1:16">
      <c r="A81" s="6">
        <v>80</v>
      </c>
      <c r="B81" s="6"/>
      <c r="C81" s="6" t="str">
        <f>IF($B81="","",IFERROR(INDEX('Типы элементов'!$C:$C,MATCH($B81,'Типы элементов'!$B:$B,0)),""))</f>
        <v/>
      </c>
      <c r="D81" s="6" t="str">
        <f>IF($B81="","",IFERROR(INDEX('Типы элементов'!$D:$D,MATCH($B81,'Типы элементов'!$B:$B,0)),""))</f>
        <v/>
      </c>
      <c r="E81" s="6" t="str">
        <f>IF($B81="","",IFERROR(INDEX('Типы элементов'!$E:$E,MATCH($B81,'Типы элементов'!$B:$B,0)),""))</f>
        <v/>
      </c>
      <c r="F81" s="6" t="str">
        <f>IF($B81="","",IFERROR(INDEX('Типы элементов'!$F:$F,MATCH($B81,'Типы элементов'!$B:$B,0)),""))</f>
        <v/>
      </c>
      <c r="G81" s="6" t="str">
        <f>IF($B81="","",IFERROR(INDEX('Типы элементов'!$G:$G,MATCH($B81,'Типы элементов'!$B:$B,0)),""))</f>
        <v/>
      </c>
      <c r="H81" s="6" t="str">
        <f>IF($B81="","",IFERROR(INDEX('Типы элементов'!$H:$H,MATCH($B81,'Типы элементов'!$B:$B,0)),""))</f>
        <v/>
      </c>
      <c r="I81" s="6" t="str">
        <f>IF($B81="","",IFERROR(INDEX('Типы элементов'!$I:$I,MATCH($B81,'Типы элементов'!$B:$B,0)),""))</f>
        <v/>
      </c>
      <c r="J81" s="6" t="str">
        <f>IF($B81="","",IFERROR(INDEX('Типы элементов'!$J:$J,MATCH($B81,'Типы элементов'!$B:$B,0)),""))</f>
        <v/>
      </c>
      <c r="K81" s="6" t="str">
        <f>IF($B81="","",IFERROR(INDEX('Типы элементов'!$K:$K,MATCH($B81,'Типы элементов'!$B:$B,0)),""))</f>
        <v/>
      </c>
      <c r="L81" s="6" t="str">
        <f>IF($B81="","",IFERROR(INDEX('Типы элементов'!$L:$L,MATCH($B81,'Типы элементов'!$B:$B,0)),""))</f>
        <v/>
      </c>
      <c r="M81" s="6" t="str">
        <f>IF($B81="","",IFERROR(INDEX('Типы элементов'!$M:$M,MATCH($B81,'Типы элементов'!$B:$B,0)),""))</f>
        <v/>
      </c>
      <c r="N81" s="6" t="str">
        <f>IF($B81="","",IFERROR(INDEX('Типы элементов'!$N:$N,MATCH($B81,'Типы элементов'!$B:$B,0)),""))</f>
        <v/>
      </c>
      <c r="O81" s="6" t="str">
        <f>IF($B81="","",IFERROR(INDEX('Типы элементов'!$O:$O,MATCH($B81,'Типы элементов'!$B:$B,0)),""))</f>
        <v/>
      </c>
      <c r="P81" s="6" t="str">
        <f>IF($B81="","",IFERROR(INDEX('Типы элементов'!$P:$P,MATCH($B81,'Типы элементов'!$B:$B,0)),""))</f>
        <v/>
      </c>
    </row>
    <row r="82" spans="1:16">
      <c r="A82" s="6">
        <v>81</v>
      </c>
      <c r="B82" s="6"/>
      <c r="C82" s="6" t="str">
        <f>IF($B82="","",IFERROR(INDEX('Типы элементов'!$C:$C,MATCH($B82,'Типы элементов'!$B:$B,0)),""))</f>
        <v/>
      </c>
      <c r="D82" s="6" t="str">
        <f>IF($B82="","",IFERROR(INDEX('Типы элементов'!$D:$D,MATCH($B82,'Типы элементов'!$B:$B,0)),""))</f>
        <v/>
      </c>
      <c r="E82" s="6" t="str">
        <f>IF($B82="","",IFERROR(INDEX('Типы элементов'!$E:$E,MATCH($B82,'Типы элементов'!$B:$B,0)),""))</f>
        <v/>
      </c>
      <c r="F82" s="6" t="str">
        <f>IF($B82="","",IFERROR(INDEX('Типы элементов'!$F:$F,MATCH($B82,'Типы элементов'!$B:$B,0)),""))</f>
        <v/>
      </c>
      <c r="G82" s="6" t="str">
        <f>IF($B82="","",IFERROR(INDEX('Типы элементов'!$G:$G,MATCH($B82,'Типы элементов'!$B:$B,0)),""))</f>
        <v/>
      </c>
      <c r="H82" s="6" t="str">
        <f>IF($B82="","",IFERROR(INDEX('Типы элементов'!$H:$H,MATCH($B82,'Типы элементов'!$B:$B,0)),""))</f>
        <v/>
      </c>
      <c r="I82" s="6" t="str">
        <f>IF($B82="","",IFERROR(INDEX('Типы элементов'!$I:$I,MATCH($B82,'Типы элементов'!$B:$B,0)),""))</f>
        <v/>
      </c>
      <c r="J82" s="6" t="str">
        <f>IF($B82="","",IFERROR(INDEX('Типы элементов'!$J:$J,MATCH($B82,'Типы элементов'!$B:$B,0)),""))</f>
        <v/>
      </c>
      <c r="K82" s="6" t="str">
        <f>IF($B82="","",IFERROR(INDEX('Типы элементов'!$K:$K,MATCH($B82,'Типы элементов'!$B:$B,0)),""))</f>
        <v/>
      </c>
      <c r="L82" s="6" t="str">
        <f>IF($B82="","",IFERROR(INDEX('Типы элементов'!$L:$L,MATCH($B82,'Типы элементов'!$B:$B,0)),""))</f>
        <v/>
      </c>
      <c r="M82" s="6" t="str">
        <f>IF($B82="","",IFERROR(INDEX('Типы элементов'!$M:$M,MATCH($B82,'Типы элементов'!$B:$B,0)),""))</f>
        <v/>
      </c>
      <c r="N82" s="6" t="str">
        <f>IF($B82="","",IFERROR(INDEX('Типы элементов'!$N:$N,MATCH($B82,'Типы элементов'!$B:$B,0)),""))</f>
        <v/>
      </c>
      <c r="O82" s="6" t="str">
        <f>IF($B82="","",IFERROR(INDEX('Типы элементов'!$O:$O,MATCH($B82,'Типы элементов'!$B:$B,0)),""))</f>
        <v/>
      </c>
      <c r="P82" s="6" t="str">
        <f>IF($B82="","",IFERROR(INDEX('Типы элементов'!$P:$P,MATCH($B82,'Типы элементов'!$B:$B,0)),""))</f>
        <v/>
      </c>
    </row>
    <row r="83" spans="1:16">
      <c r="A83" s="6">
        <v>82</v>
      </c>
      <c r="B83" s="6"/>
      <c r="C83" s="6" t="str">
        <f>IF($B83="","",IFERROR(INDEX('Типы элементов'!$C:$C,MATCH($B83,'Типы элементов'!$B:$B,0)),""))</f>
        <v/>
      </c>
      <c r="D83" s="6" t="str">
        <f>IF($B83="","",IFERROR(INDEX('Типы элементов'!$D:$D,MATCH($B83,'Типы элементов'!$B:$B,0)),""))</f>
        <v/>
      </c>
      <c r="E83" s="6" t="str">
        <f>IF($B83="","",IFERROR(INDEX('Типы элементов'!$E:$E,MATCH($B83,'Типы элементов'!$B:$B,0)),""))</f>
        <v/>
      </c>
      <c r="F83" s="6" t="str">
        <f>IF($B83="","",IFERROR(INDEX('Типы элементов'!$F:$F,MATCH($B83,'Типы элементов'!$B:$B,0)),""))</f>
        <v/>
      </c>
      <c r="G83" s="6" t="str">
        <f>IF($B83="","",IFERROR(INDEX('Типы элементов'!$G:$G,MATCH($B83,'Типы элементов'!$B:$B,0)),""))</f>
        <v/>
      </c>
      <c r="H83" s="6" t="str">
        <f>IF($B83="","",IFERROR(INDEX('Типы элементов'!$H:$H,MATCH($B83,'Типы элементов'!$B:$B,0)),""))</f>
        <v/>
      </c>
      <c r="I83" s="6" t="str">
        <f>IF($B83="","",IFERROR(INDEX('Типы элементов'!$I:$I,MATCH($B83,'Типы элементов'!$B:$B,0)),""))</f>
        <v/>
      </c>
      <c r="J83" s="6" t="str">
        <f>IF($B83="","",IFERROR(INDEX('Типы элементов'!$J:$J,MATCH($B83,'Типы элементов'!$B:$B,0)),""))</f>
        <v/>
      </c>
      <c r="K83" s="6" t="str">
        <f>IF($B83="","",IFERROR(INDEX('Типы элементов'!$K:$K,MATCH($B83,'Типы элементов'!$B:$B,0)),""))</f>
        <v/>
      </c>
      <c r="L83" s="6" t="str">
        <f>IF($B83="","",IFERROR(INDEX('Типы элементов'!$L:$L,MATCH($B83,'Типы элементов'!$B:$B,0)),""))</f>
        <v/>
      </c>
      <c r="M83" s="6" t="str">
        <f>IF($B83="","",IFERROR(INDEX('Типы элементов'!$M:$M,MATCH($B83,'Типы элементов'!$B:$B,0)),""))</f>
        <v/>
      </c>
      <c r="N83" s="6" t="str">
        <f>IF($B83="","",IFERROR(INDEX('Типы элементов'!$N:$N,MATCH($B83,'Типы элементов'!$B:$B,0)),""))</f>
        <v/>
      </c>
      <c r="O83" s="6" t="str">
        <f>IF($B83="","",IFERROR(INDEX('Типы элементов'!$O:$O,MATCH($B83,'Типы элементов'!$B:$B,0)),""))</f>
        <v/>
      </c>
      <c r="P83" s="6" t="str">
        <f>IF($B83="","",IFERROR(INDEX('Типы элементов'!$P:$P,MATCH($B83,'Типы элементов'!$B:$B,0)),""))</f>
        <v/>
      </c>
    </row>
    <row r="84" spans="1:16">
      <c r="A84" s="6">
        <v>83</v>
      </c>
      <c r="B84" s="6"/>
      <c r="C84" s="6" t="str">
        <f>IF($B84="","",IFERROR(INDEX('Типы элементов'!$C:$C,MATCH($B84,'Типы элементов'!$B:$B,0)),""))</f>
        <v/>
      </c>
      <c r="D84" s="6" t="str">
        <f>IF($B84="","",IFERROR(INDEX('Типы элементов'!$D:$D,MATCH($B84,'Типы элементов'!$B:$B,0)),""))</f>
        <v/>
      </c>
      <c r="E84" s="6" t="str">
        <f>IF($B84="","",IFERROR(INDEX('Типы элементов'!$E:$E,MATCH($B84,'Типы элементов'!$B:$B,0)),""))</f>
        <v/>
      </c>
      <c r="F84" s="6" t="str">
        <f>IF($B84="","",IFERROR(INDEX('Типы элементов'!$F:$F,MATCH($B84,'Типы элементов'!$B:$B,0)),""))</f>
        <v/>
      </c>
      <c r="G84" s="6" t="str">
        <f>IF($B84="","",IFERROR(INDEX('Типы элементов'!$G:$G,MATCH($B84,'Типы элементов'!$B:$B,0)),""))</f>
        <v/>
      </c>
      <c r="H84" s="6" t="str">
        <f>IF($B84="","",IFERROR(INDEX('Типы элементов'!$H:$H,MATCH($B84,'Типы элементов'!$B:$B,0)),""))</f>
        <v/>
      </c>
      <c r="I84" s="6" t="str">
        <f>IF($B84="","",IFERROR(INDEX('Типы элементов'!$I:$I,MATCH($B84,'Типы элементов'!$B:$B,0)),""))</f>
        <v/>
      </c>
      <c r="J84" s="6" t="str">
        <f>IF($B84="","",IFERROR(INDEX('Типы элементов'!$J:$J,MATCH($B84,'Типы элементов'!$B:$B,0)),""))</f>
        <v/>
      </c>
      <c r="K84" s="6" t="str">
        <f>IF($B84="","",IFERROR(INDEX('Типы элементов'!$K:$K,MATCH($B84,'Типы элементов'!$B:$B,0)),""))</f>
        <v/>
      </c>
      <c r="L84" s="6" t="str">
        <f>IF($B84="","",IFERROR(INDEX('Типы элементов'!$L:$L,MATCH($B84,'Типы элементов'!$B:$B,0)),""))</f>
        <v/>
      </c>
      <c r="M84" s="6" t="str">
        <f>IF($B84="","",IFERROR(INDEX('Типы элементов'!$M:$M,MATCH($B84,'Типы элементов'!$B:$B,0)),""))</f>
        <v/>
      </c>
      <c r="N84" s="6" t="str">
        <f>IF($B84="","",IFERROR(INDEX('Типы элементов'!$N:$N,MATCH($B84,'Типы элементов'!$B:$B,0)),""))</f>
        <v/>
      </c>
      <c r="O84" s="6" t="str">
        <f>IF($B84="","",IFERROR(INDEX('Типы элементов'!$O:$O,MATCH($B84,'Типы элементов'!$B:$B,0)),""))</f>
        <v/>
      </c>
      <c r="P84" s="6" t="str">
        <f>IF($B84="","",IFERROR(INDEX('Типы элементов'!$P:$P,MATCH($B84,'Типы элементов'!$B:$B,0)),""))</f>
        <v/>
      </c>
    </row>
    <row r="85" spans="1:16">
      <c r="A85" s="6">
        <v>84</v>
      </c>
      <c r="B85" s="6"/>
      <c r="C85" s="6" t="str">
        <f>IF($B85="","",IFERROR(INDEX('Типы элементов'!$C:$C,MATCH($B85,'Типы элементов'!$B:$B,0)),""))</f>
        <v/>
      </c>
      <c r="D85" s="6" t="str">
        <f>IF($B85="","",IFERROR(INDEX('Типы элементов'!$D:$D,MATCH($B85,'Типы элементов'!$B:$B,0)),""))</f>
        <v/>
      </c>
      <c r="E85" s="6" t="str">
        <f>IF($B85="","",IFERROR(INDEX('Типы элементов'!$E:$E,MATCH($B85,'Типы элементов'!$B:$B,0)),""))</f>
        <v/>
      </c>
      <c r="F85" s="6" t="str">
        <f>IF($B85="","",IFERROR(INDEX('Типы элементов'!$F:$F,MATCH($B85,'Типы элементов'!$B:$B,0)),""))</f>
        <v/>
      </c>
      <c r="G85" s="6" t="str">
        <f>IF($B85="","",IFERROR(INDEX('Типы элементов'!$G:$G,MATCH($B85,'Типы элементов'!$B:$B,0)),""))</f>
        <v/>
      </c>
      <c r="H85" s="6" t="str">
        <f>IF($B85="","",IFERROR(INDEX('Типы элементов'!$H:$H,MATCH($B85,'Типы элементов'!$B:$B,0)),""))</f>
        <v/>
      </c>
      <c r="I85" s="6" t="str">
        <f>IF($B85="","",IFERROR(INDEX('Типы элементов'!$I:$I,MATCH($B85,'Типы элементов'!$B:$B,0)),""))</f>
        <v/>
      </c>
      <c r="J85" s="6" t="str">
        <f>IF($B85="","",IFERROR(INDEX('Типы элементов'!$J:$J,MATCH($B85,'Типы элементов'!$B:$B,0)),""))</f>
        <v/>
      </c>
      <c r="K85" s="6" t="str">
        <f>IF($B85="","",IFERROR(INDEX('Типы элементов'!$K:$K,MATCH($B85,'Типы элементов'!$B:$B,0)),""))</f>
        <v/>
      </c>
      <c r="L85" s="6" t="str">
        <f>IF($B85="","",IFERROR(INDEX('Типы элементов'!$L:$L,MATCH($B85,'Типы элементов'!$B:$B,0)),""))</f>
        <v/>
      </c>
      <c r="M85" s="6" t="str">
        <f>IF($B85="","",IFERROR(INDEX('Типы элементов'!$M:$M,MATCH($B85,'Типы элементов'!$B:$B,0)),""))</f>
        <v/>
      </c>
      <c r="N85" s="6" t="str">
        <f>IF($B85="","",IFERROR(INDEX('Типы элементов'!$N:$N,MATCH($B85,'Типы элементов'!$B:$B,0)),""))</f>
        <v/>
      </c>
      <c r="O85" s="6" t="str">
        <f>IF($B85="","",IFERROR(INDEX('Типы элементов'!$O:$O,MATCH($B85,'Типы элементов'!$B:$B,0)),""))</f>
        <v/>
      </c>
      <c r="P85" s="6" t="str">
        <f>IF($B85="","",IFERROR(INDEX('Типы элементов'!$P:$P,MATCH($B85,'Типы элементов'!$B:$B,0)),""))</f>
        <v/>
      </c>
    </row>
    <row r="86" spans="1:16">
      <c r="A86" s="6">
        <v>85</v>
      </c>
      <c r="B86" s="6"/>
      <c r="C86" s="6" t="str">
        <f>IF($B86="","",IFERROR(INDEX('Типы элементов'!$C:$C,MATCH($B86,'Типы элементов'!$B:$B,0)),""))</f>
        <v/>
      </c>
      <c r="D86" s="6" t="str">
        <f>IF($B86="","",IFERROR(INDEX('Типы элементов'!$D:$D,MATCH($B86,'Типы элементов'!$B:$B,0)),""))</f>
        <v/>
      </c>
      <c r="E86" s="6" t="str">
        <f>IF($B86="","",IFERROR(INDEX('Типы элементов'!$E:$E,MATCH($B86,'Типы элементов'!$B:$B,0)),""))</f>
        <v/>
      </c>
      <c r="F86" s="6" t="str">
        <f>IF($B86="","",IFERROR(INDEX('Типы элементов'!$F:$F,MATCH($B86,'Типы элементов'!$B:$B,0)),""))</f>
        <v/>
      </c>
      <c r="G86" s="6" t="str">
        <f>IF($B86="","",IFERROR(INDEX('Типы элементов'!$G:$G,MATCH($B86,'Типы элементов'!$B:$B,0)),""))</f>
        <v/>
      </c>
      <c r="H86" s="6" t="str">
        <f>IF($B86="","",IFERROR(INDEX('Типы элементов'!$H:$H,MATCH($B86,'Типы элементов'!$B:$B,0)),""))</f>
        <v/>
      </c>
      <c r="I86" s="6" t="str">
        <f>IF($B86="","",IFERROR(INDEX('Типы элементов'!$I:$I,MATCH($B86,'Типы элементов'!$B:$B,0)),""))</f>
        <v/>
      </c>
      <c r="J86" s="6" t="str">
        <f>IF($B86="","",IFERROR(INDEX('Типы элементов'!$J:$J,MATCH($B86,'Типы элементов'!$B:$B,0)),""))</f>
        <v/>
      </c>
      <c r="K86" s="6" t="str">
        <f>IF($B86="","",IFERROR(INDEX('Типы элементов'!$K:$K,MATCH($B86,'Типы элементов'!$B:$B,0)),""))</f>
        <v/>
      </c>
      <c r="L86" s="6" t="str">
        <f>IF($B86="","",IFERROR(INDEX('Типы элементов'!$L:$L,MATCH($B86,'Типы элементов'!$B:$B,0)),""))</f>
        <v/>
      </c>
      <c r="M86" s="6" t="str">
        <f>IF($B86="","",IFERROR(INDEX('Типы элементов'!$M:$M,MATCH($B86,'Типы элементов'!$B:$B,0)),""))</f>
        <v/>
      </c>
      <c r="N86" s="6" t="str">
        <f>IF($B86="","",IFERROR(INDEX('Типы элементов'!$N:$N,MATCH($B86,'Типы элементов'!$B:$B,0)),""))</f>
        <v/>
      </c>
      <c r="O86" s="6" t="str">
        <f>IF($B86="","",IFERROR(INDEX('Типы элементов'!$O:$O,MATCH($B86,'Типы элементов'!$B:$B,0)),""))</f>
        <v/>
      </c>
      <c r="P86" s="6" t="str">
        <f>IF($B86="","",IFERROR(INDEX('Типы элементов'!$P:$P,MATCH($B86,'Типы элементов'!$B:$B,0)),""))</f>
        <v/>
      </c>
    </row>
    <row r="87" spans="1:16">
      <c r="A87" s="6">
        <v>86</v>
      </c>
      <c r="B87" s="6"/>
      <c r="C87" s="6" t="str">
        <f>IF($B87="","",IFERROR(INDEX('Типы элементов'!$C:$C,MATCH($B87,'Типы элементов'!$B:$B,0)),""))</f>
        <v/>
      </c>
      <c r="D87" s="6" t="str">
        <f>IF($B87="","",IFERROR(INDEX('Типы элементов'!$D:$D,MATCH($B87,'Типы элементов'!$B:$B,0)),""))</f>
        <v/>
      </c>
      <c r="E87" s="6" t="str">
        <f>IF($B87="","",IFERROR(INDEX('Типы элементов'!$E:$E,MATCH($B87,'Типы элементов'!$B:$B,0)),""))</f>
        <v/>
      </c>
      <c r="F87" s="6" t="str">
        <f>IF($B87="","",IFERROR(INDEX('Типы элементов'!$F:$F,MATCH($B87,'Типы элементов'!$B:$B,0)),""))</f>
        <v/>
      </c>
      <c r="G87" s="6" t="str">
        <f>IF($B87="","",IFERROR(INDEX('Типы элементов'!$G:$G,MATCH($B87,'Типы элементов'!$B:$B,0)),""))</f>
        <v/>
      </c>
      <c r="H87" s="6" t="str">
        <f>IF($B87="","",IFERROR(INDEX('Типы элементов'!$H:$H,MATCH($B87,'Типы элементов'!$B:$B,0)),""))</f>
        <v/>
      </c>
      <c r="I87" s="6" t="str">
        <f>IF($B87="","",IFERROR(INDEX('Типы элементов'!$I:$I,MATCH($B87,'Типы элементов'!$B:$B,0)),""))</f>
        <v/>
      </c>
      <c r="J87" s="6" t="str">
        <f>IF($B87="","",IFERROR(INDEX('Типы элементов'!$J:$J,MATCH($B87,'Типы элементов'!$B:$B,0)),""))</f>
        <v/>
      </c>
      <c r="K87" s="6" t="str">
        <f>IF($B87="","",IFERROR(INDEX('Типы элементов'!$K:$K,MATCH($B87,'Типы элементов'!$B:$B,0)),""))</f>
        <v/>
      </c>
      <c r="L87" s="6" t="str">
        <f>IF($B87="","",IFERROR(INDEX('Типы элементов'!$L:$L,MATCH($B87,'Типы элементов'!$B:$B,0)),""))</f>
        <v/>
      </c>
      <c r="M87" s="6" t="str">
        <f>IF($B87="","",IFERROR(INDEX('Типы элементов'!$M:$M,MATCH($B87,'Типы элементов'!$B:$B,0)),""))</f>
        <v/>
      </c>
      <c r="N87" s="6" t="str">
        <f>IF($B87="","",IFERROR(INDEX('Типы элементов'!$N:$N,MATCH($B87,'Типы элементов'!$B:$B,0)),""))</f>
        <v/>
      </c>
      <c r="O87" s="6" t="str">
        <f>IF($B87="","",IFERROR(INDEX('Типы элементов'!$O:$O,MATCH($B87,'Типы элементов'!$B:$B,0)),""))</f>
        <v/>
      </c>
      <c r="P87" s="6" t="str">
        <f>IF($B87="","",IFERROR(INDEX('Типы элементов'!$P:$P,MATCH($B87,'Типы элементов'!$B:$B,0)),""))</f>
        <v/>
      </c>
    </row>
    <row r="88" spans="1:16">
      <c r="A88" s="6">
        <v>87</v>
      </c>
      <c r="B88" s="6"/>
      <c r="C88" s="6" t="str">
        <f>IF($B88="","",IFERROR(INDEX('Типы элементов'!$C:$C,MATCH($B88,'Типы элементов'!$B:$B,0)),""))</f>
        <v/>
      </c>
      <c r="D88" s="6" t="str">
        <f>IF($B88="","",IFERROR(INDEX('Типы элементов'!$D:$D,MATCH($B88,'Типы элементов'!$B:$B,0)),""))</f>
        <v/>
      </c>
      <c r="E88" s="6" t="str">
        <f>IF($B88="","",IFERROR(INDEX('Типы элементов'!$E:$E,MATCH($B88,'Типы элементов'!$B:$B,0)),""))</f>
        <v/>
      </c>
      <c r="F88" s="6" t="str">
        <f>IF($B88="","",IFERROR(INDEX('Типы элементов'!$F:$F,MATCH($B88,'Типы элементов'!$B:$B,0)),""))</f>
        <v/>
      </c>
      <c r="G88" s="6" t="str">
        <f>IF($B88="","",IFERROR(INDEX('Типы элементов'!$G:$G,MATCH($B88,'Типы элементов'!$B:$B,0)),""))</f>
        <v/>
      </c>
      <c r="H88" s="6" t="str">
        <f>IF($B88="","",IFERROR(INDEX('Типы элементов'!$H:$H,MATCH($B88,'Типы элементов'!$B:$B,0)),""))</f>
        <v/>
      </c>
      <c r="I88" s="6" t="str">
        <f>IF($B88="","",IFERROR(INDEX('Типы элементов'!$I:$I,MATCH($B88,'Типы элементов'!$B:$B,0)),""))</f>
        <v/>
      </c>
      <c r="J88" s="6" t="str">
        <f>IF($B88="","",IFERROR(INDEX('Типы элементов'!$J:$J,MATCH($B88,'Типы элементов'!$B:$B,0)),""))</f>
        <v/>
      </c>
      <c r="K88" s="6" t="str">
        <f>IF($B88="","",IFERROR(INDEX('Типы элементов'!$K:$K,MATCH($B88,'Типы элементов'!$B:$B,0)),""))</f>
        <v/>
      </c>
      <c r="L88" s="6" t="str">
        <f>IF($B88="","",IFERROR(INDEX('Типы элементов'!$L:$L,MATCH($B88,'Типы элементов'!$B:$B,0)),""))</f>
        <v/>
      </c>
      <c r="M88" s="6" t="str">
        <f>IF($B88="","",IFERROR(INDEX('Типы элементов'!$M:$M,MATCH($B88,'Типы элементов'!$B:$B,0)),""))</f>
        <v/>
      </c>
      <c r="N88" s="6" t="str">
        <f>IF($B88="","",IFERROR(INDEX('Типы элементов'!$N:$N,MATCH($B88,'Типы элементов'!$B:$B,0)),""))</f>
        <v/>
      </c>
      <c r="O88" s="6" t="str">
        <f>IF($B88="","",IFERROR(INDEX('Типы элементов'!$O:$O,MATCH($B88,'Типы элементов'!$B:$B,0)),""))</f>
        <v/>
      </c>
      <c r="P88" s="6" t="str">
        <f>IF($B88="","",IFERROR(INDEX('Типы элементов'!$P:$P,MATCH($B88,'Типы элементов'!$B:$B,0)),""))</f>
        <v/>
      </c>
    </row>
    <row r="89" spans="1:16">
      <c r="A89" s="6">
        <v>88</v>
      </c>
      <c r="B89" s="6"/>
      <c r="C89" s="6" t="str">
        <f>IF($B89="","",IFERROR(INDEX('Типы элементов'!$C:$C,MATCH($B89,'Типы элементов'!$B:$B,0)),""))</f>
        <v/>
      </c>
      <c r="D89" s="6" t="str">
        <f>IF($B89="","",IFERROR(INDEX('Типы элементов'!$D:$D,MATCH($B89,'Типы элементов'!$B:$B,0)),""))</f>
        <v/>
      </c>
      <c r="E89" s="6" t="str">
        <f>IF($B89="","",IFERROR(INDEX('Типы элементов'!$E:$E,MATCH($B89,'Типы элементов'!$B:$B,0)),""))</f>
        <v/>
      </c>
      <c r="F89" s="6" t="str">
        <f>IF($B89="","",IFERROR(INDEX('Типы элементов'!$F:$F,MATCH($B89,'Типы элементов'!$B:$B,0)),""))</f>
        <v/>
      </c>
      <c r="G89" s="6" t="str">
        <f>IF($B89="","",IFERROR(INDEX('Типы элементов'!$G:$G,MATCH($B89,'Типы элементов'!$B:$B,0)),""))</f>
        <v/>
      </c>
      <c r="H89" s="6" t="str">
        <f>IF($B89="","",IFERROR(INDEX('Типы элементов'!$H:$H,MATCH($B89,'Типы элементов'!$B:$B,0)),""))</f>
        <v/>
      </c>
      <c r="I89" s="6" t="str">
        <f>IF($B89="","",IFERROR(INDEX('Типы элементов'!$I:$I,MATCH($B89,'Типы элементов'!$B:$B,0)),""))</f>
        <v/>
      </c>
      <c r="J89" s="6" t="str">
        <f>IF($B89="","",IFERROR(INDEX('Типы элементов'!$J:$J,MATCH($B89,'Типы элементов'!$B:$B,0)),""))</f>
        <v/>
      </c>
      <c r="K89" s="6" t="str">
        <f>IF($B89="","",IFERROR(INDEX('Типы элементов'!$K:$K,MATCH($B89,'Типы элементов'!$B:$B,0)),""))</f>
        <v/>
      </c>
      <c r="L89" s="6" t="str">
        <f>IF($B89="","",IFERROR(INDEX('Типы элементов'!$L:$L,MATCH($B89,'Типы элементов'!$B:$B,0)),""))</f>
        <v/>
      </c>
      <c r="M89" s="6" t="str">
        <f>IF($B89="","",IFERROR(INDEX('Типы элементов'!$M:$M,MATCH($B89,'Типы элементов'!$B:$B,0)),""))</f>
        <v/>
      </c>
      <c r="N89" s="6" t="str">
        <f>IF($B89="","",IFERROR(INDEX('Типы элементов'!$N:$N,MATCH($B89,'Типы элементов'!$B:$B,0)),""))</f>
        <v/>
      </c>
      <c r="O89" s="6" t="str">
        <f>IF($B89="","",IFERROR(INDEX('Типы элементов'!$O:$O,MATCH($B89,'Типы элементов'!$B:$B,0)),""))</f>
        <v/>
      </c>
      <c r="P89" s="6" t="str">
        <f>IF($B89="","",IFERROR(INDEX('Типы элементов'!$P:$P,MATCH($B89,'Типы элементов'!$B:$B,0)),""))</f>
        <v/>
      </c>
    </row>
    <row r="90" spans="1:16">
      <c r="A90" s="6">
        <v>89</v>
      </c>
      <c r="B90" s="6"/>
      <c r="C90" s="6" t="str">
        <f>IF($B90="","",IFERROR(INDEX('Типы элементов'!$C:$C,MATCH($B90,'Типы элементов'!$B:$B,0)),""))</f>
        <v/>
      </c>
      <c r="D90" s="6" t="str">
        <f>IF($B90="","",IFERROR(INDEX('Типы элементов'!$D:$D,MATCH($B90,'Типы элементов'!$B:$B,0)),""))</f>
        <v/>
      </c>
      <c r="E90" s="6" t="str">
        <f>IF($B90="","",IFERROR(INDEX('Типы элементов'!$E:$E,MATCH($B90,'Типы элементов'!$B:$B,0)),""))</f>
        <v/>
      </c>
      <c r="F90" s="6" t="str">
        <f>IF($B90="","",IFERROR(INDEX('Типы элементов'!$F:$F,MATCH($B90,'Типы элементов'!$B:$B,0)),""))</f>
        <v/>
      </c>
      <c r="G90" s="6" t="str">
        <f>IF($B90="","",IFERROR(INDEX('Типы элементов'!$G:$G,MATCH($B90,'Типы элементов'!$B:$B,0)),""))</f>
        <v/>
      </c>
      <c r="H90" s="6" t="str">
        <f>IF($B90="","",IFERROR(INDEX('Типы элементов'!$H:$H,MATCH($B90,'Типы элементов'!$B:$B,0)),""))</f>
        <v/>
      </c>
      <c r="I90" s="6" t="str">
        <f>IF($B90="","",IFERROR(INDEX('Типы элементов'!$I:$I,MATCH($B90,'Типы элементов'!$B:$B,0)),""))</f>
        <v/>
      </c>
      <c r="J90" s="6" t="str">
        <f>IF($B90="","",IFERROR(INDEX('Типы элементов'!$J:$J,MATCH($B90,'Типы элементов'!$B:$B,0)),""))</f>
        <v/>
      </c>
      <c r="K90" s="6" t="str">
        <f>IF($B90="","",IFERROR(INDEX('Типы элементов'!$K:$K,MATCH($B90,'Типы элементов'!$B:$B,0)),""))</f>
        <v/>
      </c>
      <c r="L90" s="6" t="str">
        <f>IF($B90="","",IFERROR(INDEX('Типы элементов'!$L:$L,MATCH($B90,'Типы элементов'!$B:$B,0)),""))</f>
        <v/>
      </c>
      <c r="M90" s="6" t="str">
        <f>IF($B90="","",IFERROR(INDEX('Типы элементов'!$M:$M,MATCH($B90,'Типы элементов'!$B:$B,0)),""))</f>
        <v/>
      </c>
      <c r="N90" s="6" t="str">
        <f>IF($B90="","",IFERROR(INDEX('Типы элементов'!$N:$N,MATCH($B90,'Типы элементов'!$B:$B,0)),""))</f>
        <v/>
      </c>
      <c r="O90" s="6" t="str">
        <f>IF($B90="","",IFERROR(INDEX('Типы элементов'!$O:$O,MATCH($B90,'Типы элементов'!$B:$B,0)),""))</f>
        <v/>
      </c>
      <c r="P90" s="6" t="str">
        <f>IF($B90="","",IFERROR(INDEX('Типы элементов'!$P:$P,MATCH($B90,'Типы элементов'!$B:$B,0)),""))</f>
        <v/>
      </c>
    </row>
    <row r="91" spans="1:16">
      <c r="A91" s="6">
        <v>90</v>
      </c>
      <c r="B91" s="6"/>
      <c r="C91" s="6" t="str">
        <f>IF($B91="","",IFERROR(INDEX('Типы элементов'!$C:$C,MATCH($B91,'Типы элементов'!$B:$B,0)),""))</f>
        <v/>
      </c>
      <c r="D91" s="6" t="str">
        <f>IF($B91="","",IFERROR(INDEX('Типы элементов'!$D:$D,MATCH($B91,'Типы элементов'!$B:$B,0)),""))</f>
        <v/>
      </c>
      <c r="E91" s="6" t="str">
        <f>IF($B91="","",IFERROR(INDEX('Типы элементов'!$E:$E,MATCH($B91,'Типы элементов'!$B:$B,0)),""))</f>
        <v/>
      </c>
      <c r="F91" s="6" t="str">
        <f>IF($B91="","",IFERROR(INDEX('Типы элементов'!$F:$F,MATCH($B91,'Типы элементов'!$B:$B,0)),""))</f>
        <v/>
      </c>
      <c r="G91" s="6" t="str">
        <f>IF($B91="","",IFERROR(INDEX('Типы элементов'!$G:$G,MATCH($B91,'Типы элементов'!$B:$B,0)),""))</f>
        <v/>
      </c>
      <c r="H91" s="6" t="str">
        <f>IF($B91="","",IFERROR(INDEX('Типы элементов'!$H:$H,MATCH($B91,'Типы элементов'!$B:$B,0)),""))</f>
        <v/>
      </c>
      <c r="I91" s="6" t="str">
        <f>IF($B91="","",IFERROR(INDEX('Типы элементов'!$I:$I,MATCH($B91,'Типы элементов'!$B:$B,0)),""))</f>
        <v/>
      </c>
      <c r="J91" s="6" t="str">
        <f>IF($B91="","",IFERROR(INDEX('Типы элементов'!$J:$J,MATCH($B91,'Типы элементов'!$B:$B,0)),""))</f>
        <v/>
      </c>
      <c r="K91" s="6" t="str">
        <f>IF($B91="","",IFERROR(INDEX('Типы элементов'!$K:$K,MATCH($B91,'Типы элементов'!$B:$B,0)),""))</f>
        <v/>
      </c>
      <c r="L91" s="6" t="str">
        <f>IF($B91="","",IFERROR(INDEX('Типы элементов'!$L:$L,MATCH($B91,'Типы элементов'!$B:$B,0)),""))</f>
        <v/>
      </c>
      <c r="M91" s="6" t="str">
        <f>IF($B91="","",IFERROR(INDEX('Типы элементов'!$M:$M,MATCH($B91,'Типы элементов'!$B:$B,0)),""))</f>
        <v/>
      </c>
      <c r="N91" s="6" t="str">
        <f>IF($B91="","",IFERROR(INDEX('Типы элементов'!$N:$N,MATCH($B91,'Типы элементов'!$B:$B,0)),""))</f>
        <v/>
      </c>
      <c r="O91" s="6" t="str">
        <f>IF($B91="","",IFERROR(INDEX('Типы элементов'!$O:$O,MATCH($B91,'Типы элементов'!$B:$B,0)),""))</f>
        <v/>
      </c>
      <c r="P91" s="6" t="str">
        <f>IF($B91="","",IFERROR(INDEX('Типы элементов'!$P:$P,MATCH($B91,'Типы элементов'!$B:$B,0)),""))</f>
        <v/>
      </c>
    </row>
    <row r="92" spans="1:16">
      <c r="A92" s="6">
        <v>91</v>
      </c>
      <c r="B92" s="6"/>
      <c r="C92" s="6" t="str">
        <f>IF($B92="","",IFERROR(INDEX('Типы элементов'!$C:$C,MATCH($B92,'Типы элементов'!$B:$B,0)),""))</f>
        <v/>
      </c>
      <c r="D92" s="6" t="str">
        <f>IF($B92="","",IFERROR(INDEX('Типы элементов'!$D:$D,MATCH($B92,'Типы элементов'!$B:$B,0)),""))</f>
        <v/>
      </c>
      <c r="E92" s="6" t="str">
        <f>IF($B92="","",IFERROR(INDEX('Типы элементов'!$E:$E,MATCH($B92,'Типы элементов'!$B:$B,0)),""))</f>
        <v/>
      </c>
      <c r="F92" s="6" t="str">
        <f>IF($B92="","",IFERROR(INDEX('Типы элементов'!$F:$F,MATCH($B92,'Типы элементов'!$B:$B,0)),""))</f>
        <v/>
      </c>
      <c r="G92" s="6" t="str">
        <f>IF($B92="","",IFERROR(INDEX('Типы элементов'!$G:$G,MATCH($B92,'Типы элементов'!$B:$B,0)),""))</f>
        <v/>
      </c>
      <c r="H92" s="6" t="str">
        <f>IF($B92="","",IFERROR(INDEX('Типы элементов'!$H:$H,MATCH($B92,'Типы элементов'!$B:$B,0)),""))</f>
        <v/>
      </c>
      <c r="I92" s="6" t="str">
        <f>IF($B92="","",IFERROR(INDEX('Типы элементов'!$I:$I,MATCH($B92,'Типы элементов'!$B:$B,0)),""))</f>
        <v/>
      </c>
      <c r="J92" s="6" t="str">
        <f>IF($B92="","",IFERROR(INDEX('Типы элементов'!$J:$J,MATCH($B92,'Типы элементов'!$B:$B,0)),""))</f>
        <v/>
      </c>
      <c r="K92" s="6" t="str">
        <f>IF($B92="","",IFERROR(INDEX('Типы элементов'!$K:$K,MATCH($B92,'Типы элементов'!$B:$B,0)),""))</f>
        <v/>
      </c>
      <c r="L92" s="6" t="str">
        <f>IF($B92="","",IFERROR(INDEX('Типы элементов'!$L:$L,MATCH($B92,'Типы элементов'!$B:$B,0)),""))</f>
        <v/>
      </c>
      <c r="M92" s="6" t="str">
        <f>IF($B92="","",IFERROR(INDEX('Типы элементов'!$M:$M,MATCH($B92,'Типы элементов'!$B:$B,0)),""))</f>
        <v/>
      </c>
      <c r="N92" s="6" t="str">
        <f>IF($B92="","",IFERROR(INDEX('Типы элементов'!$N:$N,MATCH($B92,'Типы элементов'!$B:$B,0)),""))</f>
        <v/>
      </c>
      <c r="O92" s="6" t="str">
        <f>IF($B92="","",IFERROR(INDEX('Типы элементов'!$O:$O,MATCH($B92,'Типы элементов'!$B:$B,0)),""))</f>
        <v/>
      </c>
      <c r="P92" s="6" t="str">
        <f>IF($B92="","",IFERROR(INDEX('Типы элементов'!$P:$P,MATCH($B92,'Типы элементов'!$B:$B,0)),""))</f>
        <v/>
      </c>
    </row>
    <row r="93" spans="1:16">
      <c r="A93" s="6">
        <v>92</v>
      </c>
      <c r="B93" s="6"/>
      <c r="C93" s="6" t="str">
        <f>IF($B93="","",IFERROR(INDEX('Типы элементов'!$C:$C,MATCH($B93,'Типы элементов'!$B:$B,0)),""))</f>
        <v/>
      </c>
      <c r="D93" s="6" t="str">
        <f>IF($B93="","",IFERROR(INDEX('Типы элементов'!$D:$D,MATCH($B93,'Типы элементов'!$B:$B,0)),""))</f>
        <v/>
      </c>
      <c r="E93" s="6" t="str">
        <f>IF($B93="","",IFERROR(INDEX('Типы элементов'!$E:$E,MATCH($B93,'Типы элементов'!$B:$B,0)),""))</f>
        <v/>
      </c>
      <c r="F93" s="6" t="str">
        <f>IF($B93="","",IFERROR(INDEX('Типы элементов'!$F:$F,MATCH($B93,'Типы элементов'!$B:$B,0)),""))</f>
        <v/>
      </c>
      <c r="G93" s="6" t="str">
        <f>IF($B93="","",IFERROR(INDEX('Типы элементов'!$G:$G,MATCH($B93,'Типы элементов'!$B:$B,0)),""))</f>
        <v/>
      </c>
      <c r="H93" s="6" t="str">
        <f>IF($B93="","",IFERROR(INDEX('Типы элементов'!$H:$H,MATCH($B93,'Типы элементов'!$B:$B,0)),""))</f>
        <v/>
      </c>
      <c r="I93" s="6" t="str">
        <f>IF($B93="","",IFERROR(INDEX('Типы элементов'!$I:$I,MATCH($B93,'Типы элементов'!$B:$B,0)),""))</f>
        <v/>
      </c>
      <c r="J93" s="6" t="str">
        <f>IF($B93="","",IFERROR(INDEX('Типы элементов'!$J:$J,MATCH($B93,'Типы элементов'!$B:$B,0)),""))</f>
        <v/>
      </c>
      <c r="K93" s="6" t="str">
        <f>IF($B93="","",IFERROR(INDEX('Типы элементов'!$K:$K,MATCH($B93,'Типы элементов'!$B:$B,0)),""))</f>
        <v/>
      </c>
      <c r="L93" s="6" t="str">
        <f>IF($B93="","",IFERROR(INDEX('Типы элементов'!$L:$L,MATCH($B93,'Типы элементов'!$B:$B,0)),""))</f>
        <v/>
      </c>
      <c r="M93" s="6" t="str">
        <f>IF($B93="","",IFERROR(INDEX('Типы элементов'!$M:$M,MATCH($B93,'Типы элементов'!$B:$B,0)),""))</f>
        <v/>
      </c>
      <c r="N93" s="6" t="str">
        <f>IF($B93="","",IFERROR(INDEX('Типы элементов'!$N:$N,MATCH($B93,'Типы элементов'!$B:$B,0)),""))</f>
        <v/>
      </c>
      <c r="O93" s="6" t="str">
        <f>IF($B93="","",IFERROR(INDEX('Типы элементов'!$O:$O,MATCH($B93,'Типы элементов'!$B:$B,0)),""))</f>
        <v/>
      </c>
      <c r="P93" s="6" t="str">
        <f>IF($B93="","",IFERROR(INDEX('Типы элементов'!$P:$P,MATCH($B93,'Типы элементов'!$B:$B,0)),""))</f>
        <v/>
      </c>
    </row>
    <row r="94" spans="1:16">
      <c r="A94" s="6">
        <v>93</v>
      </c>
      <c r="B94" s="6"/>
      <c r="C94" s="6" t="str">
        <f>IF($B94="","",IFERROR(INDEX('Типы элементов'!$C:$C,MATCH($B94,'Типы элементов'!$B:$B,0)),""))</f>
        <v/>
      </c>
      <c r="D94" s="6" t="str">
        <f>IF($B94="","",IFERROR(INDEX('Типы элементов'!$D:$D,MATCH($B94,'Типы элементов'!$B:$B,0)),""))</f>
        <v/>
      </c>
      <c r="E94" s="6" t="str">
        <f>IF($B94="","",IFERROR(INDEX('Типы элементов'!$E:$E,MATCH($B94,'Типы элементов'!$B:$B,0)),""))</f>
        <v/>
      </c>
      <c r="F94" s="6" t="str">
        <f>IF($B94="","",IFERROR(INDEX('Типы элементов'!$F:$F,MATCH($B94,'Типы элементов'!$B:$B,0)),""))</f>
        <v/>
      </c>
      <c r="G94" s="6" t="str">
        <f>IF($B94="","",IFERROR(INDEX('Типы элементов'!$G:$G,MATCH($B94,'Типы элементов'!$B:$B,0)),""))</f>
        <v/>
      </c>
      <c r="H94" s="6" t="str">
        <f>IF($B94="","",IFERROR(INDEX('Типы элементов'!$H:$H,MATCH($B94,'Типы элементов'!$B:$B,0)),""))</f>
        <v/>
      </c>
      <c r="I94" s="6" t="str">
        <f>IF($B94="","",IFERROR(INDEX('Типы элементов'!$I:$I,MATCH($B94,'Типы элементов'!$B:$B,0)),""))</f>
        <v/>
      </c>
      <c r="J94" s="6" t="str">
        <f>IF($B94="","",IFERROR(INDEX('Типы элементов'!$J:$J,MATCH($B94,'Типы элементов'!$B:$B,0)),""))</f>
        <v/>
      </c>
      <c r="K94" s="6" t="str">
        <f>IF($B94="","",IFERROR(INDEX('Типы элементов'!$K:$K,MATCH($B94,'Типы элементов'!$B:$B,0)),""))</f>
        <v/>
      </c>
      <c r="L94" s="6" t="str">
        <f>IF($B94="","",IFERROR(INDEX('Типы элементов'!$L:$L,MATCH($B94,'Типы элементов'!$B:$B,0)),""))</f>
        <v/>
      </c>
      <c r="M94" s="6" t="str">
        <f>IF($B94="","",IFERROR(INDEX('Типы элементов'!$M:$M,MATCH($B94,'Типы элементов'!$B:$B,0)),""))</f>
        <v/>
      </c>
      <c r="N94" s="6" t="str">
        <f>IF($B94="","",IFERROR(INDEX('Типы элементов'!$N:$N,MATCH($B94,'Типы элементов'!$B:$B,0)),""))</f>
        <v/>
      </c>
      <c r="O94" s="6" t="str">
        <f>IF($B94="","",IFERROR(INDEX('Типы элементов'!$O:$O,MATCH($B94,'Типы элементов'!$B:$B,0)),""))</f>
        <v/>
      </c>
      <c r="P94" s="6" t="str">
        <f>IF($B94="","",IFERROR(INDEX('Типы элементов'!$P:$P,MATCH($B94,'Типы элементов'!$B:$B,0)),""))</f>
        <v/>
      </c>
    </row>
    <row r="95" spans="1:16">
      <c r="A95" s="6">
        <v>94</v>
      </c>
      <c r="B95" s="6"/>
      <c r="C95" s="6" t="str">
        <f>IF($B95="","",IFERROR(INDEX('Типы элементов'!$C:$C,MATCH($B95,'Типы элементов'!$B:$B,0)),""))</f>
        <v/>
      </c>
      <c r="D95" s="6" t="str">
        <f>IF($B95="","",IFERROR(INDEX('Типы элементов'!$D:$D,MATCH($B95,'Типы элементов'!$B:$B,0)),""))</f>
        <v/>
      </c>
      <c r="E95" s="6" t="str">
        <f>IF($B95="","",IFERROR(INDEX('Типы элементов'!$E:$E,MATCH($B95,'Типы элементов'!$B:$B,0)),""))</f>
        <v/>
      </c>
      <c r="F95" s="6" t="str">
        <f>IF($B95="","",IFERROR(INDEX('Типы элементов'!$F:$F,MATCH($B95,'Типы элементов'!$B:$B,0)),""))</f>
        <v/>
      </c>
      <c r="G95" s="6" t="str">
        <f>IF($B95="","",IFERROR(INDEX('Типы элементов'!$G:$G,MATCH($B95,'Типы элементов'!$B:$B,0)),""))</f>
        <v/>
      </c>
      <c r="H95" s="6" t="str">
        <f>IF($B95="","",IFERROR(INDEX('Типы элементов'!$H:$H,MATCH($B95,'Типы элементов'!$B:$B,0)),""))</f>
        <v/>
      </c>
      <c r="I95" s="6" t="str">
        <f>IF($B95="","",IFERROR(INDEX('Типы элементов'!$I:$I,MATCH($B95,'Типы элементов'!$B:$B,0)),""))</f>
        <v/>
      </c>
      <c r="J95" s="6" t="str">
        <f>IF($B95="","",IFERROR(INDEX('Типы элементов'!$J:$J,MATCH($B95,'Типы элементов'!$B:$B,0)),""))</f>
        <v/>
      </c>
      <c r="K95" s="6" t="str">
        <f>IF($B95="","",IFERROR(INDEX('Типы элементов'!$K:$K,MATCH($B95,'Типы элементов'!$B:$B,0)),""))</f>
        <v/>
      </c>
      <c r="L95" s="6" t="str">
        <f>IF($B95="","",IFERROR(INDEX('Типы элементов'!$L:$L,MATCH($B95,'Типы элементов'!$B:$B,0)),""))</f>
        <v/>
      </c>
      <c r="M95" s="6" t="str">
        <f>IF($B95="","",IFERROR(INDEX('Типы элементов'!$M:$M,MATCH($B95,'Типы элементов'!$B:$B,0)),""))</f>
        <v/>
      </c>
      <c r="N95" s="6" t="str">
        <f>IF($B95="","",IFERROR(INDEX('Типы элементов'!$N:$N,MATCH($B95,'Типы элементов'!$B:$B,0)),""))</f>
        <v/>
      </c>
      <c r="O95" s="6" t="str">
        <f>IF($B95="","",IFERROR(INDEX('Типы элементов'!$O:$O,MATCH($B95,'Типы элементов'!$B:$B,0)),""))</f>
        <v/>
      </c>
      <c r="P95" s="6" t="str">
        <f>IF($B95="","",IFERROR(INDEX('Типы элементов'!$P:$P,MATCH($B95,'Типы элементов'!$B:$B,0)),""))</f>
        <v/>
      </c>
    </row>
    <row r="96" spans="1:16">
      <c r="A96" s="6">
        <v>95</v>
      </c>
      <c r="B96" s="6"/>
      <c r="C96" s="6" t="str">
        <f>IF($B96="","",IFERROR(INDEX('Типы элементов'!$C:$C,MATCH($B96,'Типы элементов'!$B:$B,0)),""))</f>
        <v/>
      </c>
      <c r="D96" s="6" t="str">
        <f>IF($B96="","",IFERROR(INDEX('Типы элементов'!$D:$D,MATCH($B96,'Типы элементов'!$B:$B,0)),""))</f>
        <v/>
      </c>
      <c r="E96" s="6" t="str">
        <f>IF($B96="","",IFERROR(INDEX('Типы элементов'!$E:$E,MATCH($B96,'Типы элементов'!$B:$B,0)),""))</f>
        <v/>
      </c>
      <c r="F96" s="6" t="str">
        <f>IF($B96="","",IFERROR(INDEX('Типы элементов'!$F:$F,MATCH($B96,'Типы элементов'!$B:$B,0)),""))</f>
        <v/>
      </c>
      <c r="G96" s="6" t="str">
        <f>IF($B96="","",IFERROR(INDEX('Типы элементов'!$G:$G,MATCH($B96,'Типы элементов'!$B:$B,0)),""))</f>
        <v/>
      </c>
      <c r="H96" s="6" t="str">
        <f>IF($B96="","",IFERROR(INDEX('Типы элементов'!$H:$H,MATCH($B96,'Типы элементов'!$B:$B,0)),""))</f>
        <v/>
      </c>
      <c r="I96" s="6" t="str">
        <f>IF($B96="","",IFERROR(INDEX('Типы элементов'!$I:$I,MATCH($B96,'Типы элементов'!$B:$B,0)),""))</f>
        <v/>
      </c>
      <c r="J96" s="6" t="str">
        <f>IF($B96="","",IFERROR(INDEX('Типы элементов'!$J:$J,MATCH($B96,'Типы элементов'!$B:$B,0)),""))</f>
        <v/>
      </c>
      <c r="K96" s="6" t="str">
        <f>IF($B96="","",IFERROR(INDEX('Типы элементов'!$K:$K,MATCH($B96,'Типы элементов'!$B:$B,0)),""))</f>
        <v/>
      </c>
      <c r="L96" s="6" t="str">
        <f>IF($B96="","",IFERROR(INDEX('Типы элементов'!$L:$L,MATCH($B96,'Типы элементов'!$B:$B,0)),""))</f>
        <v/>
      </c>
      <c r="M96" s="6" t="str">
        <f>IF($B96="","",IFERROR(INDEX('Типы элементов'!$M:$M,MATCH($B96,'Типы элементов'!$B:$B,0)),""))</f>
        <v/>
      </c>
      <c r="N96" s="6" t="str">
        <f>IF($B96="","",IFERROR(INDEX('Типы элементов'!$N:$N,MATCH($B96,'Типы элементов'!$B:$B,0)),""))</f>
        <v/>
      </c>
      <c r="O96" s="6" t="str">
        <f>IF($B96="","",IFERROR(INDEX('Типы элементов'!$O:$O,MATCH($B96,'Типы элементов'!$B:$B,0)),""))</f>
        <v/>
      </c>
      <c r="P96" s="6" t="str">
        <f>IF($B96="","",IFERROR(INDEX('Типы элементов'!$P:$P,MATCH($B96,'Типы элементов'!$B:$B,0)),""))</f>
        <v/>
      </c>
    </row>
    <row r="97" spans="1:16">
      <c r="A97" s="6">
        <v>96</v>
      </c>
      <c r="B97" s="6"/>
      <c r="C97" s="6" t="str">
        <f>IF($B97="","",IFERROR(INDEX('Типы элементов'!$C:$C,MATCH($B97,'Типы элементов'!$B:$B,0)),""))</f>
        <v/>
      </c>
      <c r="D97" s="6" t="str">
        <f>IF($B97="","",IFERROR(INDEX('Типы элементов'!$D:$D,MATCH($B97,'Типы элементов'!$B:$B,0)),""))</f>
        <v/>
      </c>
      <c r="E97" s="6" t="str">
        <f>IF($B97="","",IFERROR(INDEX('Типы элементов'!$E:$E,MATCH($B97,'Типы элементов'!$B:$B,0)),""))</f>
        <v/>
      </c>
      <c r="F97" s="6" t="str">
        <f>IF($B97="","",IFERROR(INDEX('Типы элементов'!$F:$F,MATCH($B97,'Типы элементов'!$B:$B,0)),""))</f>
        <v/>
      </c>
      <c r="G97" s="6" t="str">
        <f>IF($B97="","",IFERROR(INDEX('Типы элементов'!$G:$G,MATCH($B97,'Типы элементов'!$B:$B,0)),""))</f>
        <v/>
      </c>
      <c r="H97" s="6" t="str">
        <f>IF($B97="","",IFERROR(INDEX('Типы элементов'!$H:$H,MATCH($B97,'Типы элементов'!$B:$B,0)),""))</f>
        <v/>
      </c>
      <c r="I97" s="6" t="str">
        <f>IF($B97="","",IFERROR(INDEX('Типы элементов'!$I:$I,MATCH($B97,'Типы элементов'!$B:$B,0)),""))</f>
        <v/>
      </c>
      <c r="J97" s="6" t="str">
        <f>IF($B97="","",IFERROR(INDEX('Типы элементов'!$J:$J,MATCH($B97,'Типы элементов'!$B:$B,0)),""))</f>
        <v/>
      </c>
      <c r="K97" s="6" t="str">
        <f>IF($B97="","",IFERROR(INDEX('Типы элементов'!$K:$K,MATCH($B97,'Типы элементов'!$B:$B,0)),""))</f>
        <v/>
      </c>
      <c r="L97" s="6" t="str">
        <f>IF($B97="","",IFERROR(INDEX('Типы элементов'!$L:$L,MATCH($B97,'Типы элементов'!$B:$B,0)),""))</f>
        <v/>
      </c>
      <c r="M97" s="6" t="str">
        <f>IF($B97="","",IFERROR(INDEX('Типы элементов'!$M:$M,MATCH($B97,'Типы элементов'!$B:$B,0)),""))</f>
        <v/>
      </c>
      <c r="N97" s="6" t="str">
        <f>IF($B97="","",IFERROR(INDEX('Типы элементов'!$N:$N,MATCH($B97,'Типы элементов'!$B:$B,0)),""))</f>
        <v/>
      </c>
      <c r="O97" s="6" t="str">
        <f>IF($B97="","",IFERROR(INDEX('Типы элементов'!$O:$O,MATCH($B97,'Типы элементов'!$B:$B,0)),""))</f>
        <v/>
      </c>
      <c r="P97" s="6" t="str">
        <f>IF($B97="","",IFERROR(INDEX('Типы элементов'!$P:$P,MATCH($B97,'Типы элементов'!$B:$B,0)),""))</f>
        <v/>
      </c>
    </row>
    <row r="98" spans="1:16">
      <c r="A98" s="6">
        <v>97</v>
      </c>
      <c r="B98" s="6"/>
      <c r="C98" s="6" t="str">
        <f>IF($B98="","",IFERROR(INDEX('Типы элементов'!$C:$C,MATCH($B98,'Типы элементов'!$B:$B,0)),""))</f>
        <v/>
      </c>
      <c r="D98" s="6" t="str">
        <f>IF($B98="","",IFERROR(INDEX('Типы элементов'!$D:$D,MATCH($B98,'Типы элементов'!$B:$B,0)),""))</f>
        <v/>
      </c>
      <c r="E98" s="6" t="str">
        <f>IF($B98="","",IFERROR(INDEX('Типы элементов'!$E:$E,MATCH($B98,'Типы элементов'!$B:$B,0)),""))</f>
        <v/>
      </c>
      <c r="F98" s="6" t="str">
        <f>IF($B98="","",IFERROR(INDEX('Типы элементов'!$F:$F,MATCH($B98,'Типы элементов'!$B:$B,0)),""))</f>
        <v/>
      </c>
      <c r="G98" s="6" t="str">
        <f>IF($B98="","",IFERROR(INDEX('Типы элементов'!$G:$G,MATCH($B98,'Типы элементов'!$B:$B,0)),""))</f>
        <v/>
      </c>
      <c r="H98" s="6" t="str">
        <f>IF($B98="","",IFERROR(INDEX('Типы элементов'!$H:$H,MATCH($B98,'Типы элементов'!$B:$B,0)),""))</f>
        <v/>
      </c>
      <c r="I98" s="6" t="str">
        <f>IF($B98="","",IFERROR(INDEX('Типы элементов'!$I:$I,MATCH($B98,'Типы элементов'!$B:$B,0)),""))</f>
        <v/>
      </c>
      <c r="J98" s="6" t="str">
        <f>IF($B98="","",IFERROR(INDEX('Типы элементов'!$J:$J,MATCH($B98,'Типы элементов'!$B:$B,0)),""))</f>
        <v/>
      </c>
      <c r="K98" s="6" t="str">
        <f>IF($B98="","",IFERROR(INDEX('Типы элементов'!$K:$K,MATCH($B98,'Типы элементов'!$B:$B,0)),""))</f>
        <v/>
      </c>
      <c r="L98" s="6" t="str">
        <f>IF($B98="","",IFERROR(INDEX('Типы элементов'!$L:$L,MATCH($B98,'Типы элементов'!$B:$B,0)),""))</f>
        <v/>
      </c>
      <c r="M98" s="6" t="str">
        <f>IF($B98="","",IFERROR(INDEX('Типы элементов'!$M:$M,MATCH($B98,'Типы элементов'!$B:$B,0)),""))</f>
        <v/>
      </c>
      <c r="N98" s="6" t="str">
        <f>IF($B98="","",IFERROR(INDEX('Типы элементов'!$N:$N,MATCH($B98,'Типы элементов'!$B:$B,0)),""))</f>
        <v/>
      </c>
      <c r="O98" s="6" t="str">
        <f>IF($B98="","",IFERROR(INDEX('Типы элементов'!$O:$O,MATCH($B98,'Типы элементов'!$B:$B,0)),""))</f>
        <v/>
      </c>
      <c r="P98" s="6" t="str">
        <f>IF($B98="","",IFERROR(INDEX('Типы элементов'!$P:$P,MATCH($B98,'Типы элементов'!$B:$B,0)),""))</f>
        <v/>
      </c>
    </row>
    <row r="99" spans="1:16">
      <c r="A99" s="6">
        <v>98</v>
      </c>
      <c r="B99" s="6"/>
      <c r="C99" s="6" t="str">
        <f>IF($B99="","",IFERROR(INDEX('Типы элементов'!$C:$C,MATCH($B99,'Типы элементов'!$B:$B,0)),""))</f>
        <v/>
      </c>
      <c r="D99" s="6" t="str">
        <f>IF($B99="","",IFERROR(INDEX('Типы элементов'!$D:$D,MATCH($B99,'Типы элементов'!$B:$B,0)),""))</f>
        <v/>
      </c>
      <c r="E99" s="6" t="str">
        <f>IF($B99="","",IFERROR(INDEX('Типы элементов'!$E:$E,MATCH($B99,'Типы элементов'!$B:$B,0)),""))</f>
        <v/>
      </c>
      <c r="F99" s="6" t="str">
        <f>IF($B99="","",IFERROR(INDEX('Типы элементов'!$F:$F,MATCH($B99,'Типы элементов'!$B:$B,0)),""))</f>
        <v/>
      </c>
      <c r="G99" s="6" t="str">
        <f>IF($B99="","",IFERROR(INDEX('Типы элементов'!$G:$G,MATCH($B99,'Типы элементов'!$B:$B,0)),""))</f>
        <v/>
      </c>
      <c r="H99" s="6" t="str">
        <f>IF($B99="","",IFERROR(INDEX('Типы элементов'!$H:$H,MATCH($B99,'Типы элементов'!$B:$B,0)),""))</f>
        <v/>
      </c>
      <c r="I99" s="6" t="str">
        <f>IF($B99="","",IFERROR(INDEX('Типы элементов'!$I:$I,MATCH($B99,'Типы элементов'!$B:$B,0)),""))</f>
        <v/>
      </c>
      <c r="J99" s="6" t="str">
        <f>IF($B99="","",IFERROR(INDEX('Типы элементов'!$J:$J,MATCH($B99,'Типы элементов'!$B:$B,0)),""))</f>
        <v/>
      </c>
      <c r="K99" s="6" t="str">
        <f>IF($B99="","",IFERROR(INDEX('Типы элементов'!$K:$K,MATCH($B99,'Типы элементов'!$B:$B,0)),""))</f>
        <v/>
      </c>
      <c r="L99" s="6" t="str">
        <f>IF($B99="","",IFERROR(INDEX('Типы элементов'!$L:$L,MATCH($B99,'Типы элементов'!$B:$B,0)),""))</f>
        <v/>
      </c>
      <c r="M99" s="6" t="str">
        <f>IF($B99="","",IFERROR(INDEX('Типы элементов'!$M:$M,MATCH($B99,'Типы элементов'!$B:$B,0)),""))</f>
        <v/>
      </c>
      <c r="N99" s="6" t="str">
        <f>IF($B99="","",IFERROR(INDEX('Типы элементов'!$N:$N,MATCH($B99,'Типы элементов'!$B:$B,0)),""))</f>
        <v/>
      </c>
      <c r="O99" s="6" t="str">
        <f>IF($B99="","",IFERROR(INDEX('Типы элементов'!$O:$O,MATCH($B99,'Типы элементов'!$B:$B,0)),""))</f>
        <v/>
      </c>
      <c r="P99" s="6" t="str">
        <f>IF($B99="","",IFERROR(INDEX('Типы элементов'!$P:$P,MATCH($B99,'Типы элементов'!$B:$B,0)),""))</f>
        <v/>
      </c>
    </row>
    <row r="100" spans="1:16">
      <c r="A100" s="6">
        <v>99</v>
      </c>
      <c r="B100" s="6"/>
      <c r="C100" s="6" t="str">
        <f>IF($B100="","",IFERROR(INDEX('Типы элементов'!$C:$C,MATCH($B100,'Типы элементов'!$B:$B,0)),""))</f>
        <v/>
      </c>
      <c r="D100" s="6" t="str">
        <f>IF($B100="","",IFERROR(INDEX('Типы элементов'!$D:$D,MATCH($B100,'Типы элементов'!$B:$B,0)),""))</f>
        <v/>
      </c>
      <c r="E100" s="6" t="str">
        <f>IF($B100="","",IFERROR(INDEX('Типы элементов'!$E:$E,MATCH($B100,'Типы элементов'!$B:$B,0)),""))</f>
        <v/>
      </c>
      <c r="F100" s="6" t="str">
        <f>IF($B100="","",IFERROR(INDEX('Типы элементов'!$F:$F,MATCH($B100,'Типы элементов'!$B:$B,0)),""))</f>
        <v/>
      </c>
      <c r="G100" s="6" t="str">
        <f>IF($B100="","",IFERROR(INDEX('Типы элементов'!$G:$G,MATCH($B100,'Типы элементов'!$B:$B,0)),""))</f>
        <v/>
      </c>
      <c r="H100" s="6" t="str">
        <f>IF($B100="","",IFERROR(INDEX('Типы элементов'!$H:$H,MATCH($B100,'Типы элементов'!$B:$B,0)),""))</f>
        <v/>
      </c>
      <c r="I100" s="6" t="str">
        <f>IF($B100="","",IFERROR(INDEX('Типы элементов'!$I:$I,MATCH($B100,'Типы элементов'!$B:$B,0)),""))</f>
        <v/>
      </c>
      <c r="J100" s="6" t="str">
        <f>IF($B100="","",IFERROR(INDEX('Типы элементов'!$J:$J,MATCH($B100,'Типы элементов'!$B:$B,0)),""))</f>
        <v/>
      </c>
      <c r="K100" s="6" t="str">
        <f>IF($B100="","",IFERROR(INDEX('Типы элементов'!$K:$K,MATCH($B100,'Типы элементов'!$B:$B,0)),""))</f>
        <v/>
      </c>
      <c r="L100" s="6" t="str">
        <f>IF($B100="","",IFERROR(INDEX('Типы элементов'!$L:$L,MATCH($B100,'Типы элементов'!$B:$B,0)),""))</f>
        <v/>
      </c>
      <c r="M100" s="6" t="str">
        <f>IF($B100="","",IFERROR(INDEX('Типы элементов'!$M:$M,MATCH($B100,'Типы элементов'!$B:$B,0)),""))</f>
        <v/>
      </c>
      <c r="N100" s="6" t="str">
        <f>IF($B100="","",IFERROR(INDEX('Типы элементов'!$N:$N,MATCH($B100,'Типы элементов'!$B:$B,0)),""))</f>
        <v/>
      </c>
      <c r="O100" s="6" t="str">
        <f>IF($B100="","",IFERROR(INDEX('Типы элементов'!$O:$O,MATCH($B100,'Типы элементов'!$B:$B,0)),""))</f>
        <v/>
      </c>
      <c r="P100" s="6" t="str">
        <f>IF($B100="","",IFERROR(INDEX('Типы элементов'!$P:$P,MATCH($B100,'Типы элементов'!$B:$B,0)),""))</f>
        <v/>
      </c>
    </row>
    <row r="101" spans="1:16">
      <c r="A101" s="6">
        <v>100</v>
      </c>
      <c r="B101" s="6"/>
      <c r="C101" s="6" t="str">
        <f>IF($B101="","",IFERROR(INDEX('Типы элементов'!$C:$C,MATCH($B101,'Типы элементов'!$B:$B,0)),""))</f>
        <v/>
      </c>
      <c r="D101" s="6" t="str">
        <f>IF($B101="","",IFERROR(INDEX('Типы элементов'!$D:$D,MATCH($B101,'Типы элементов'!$B:$B,0)),""))</f>
        <v/>
      </c>
      <c r="E101" s="6" t="str">
        <f>IF($B101="","",IFERROR(INDEX('Типы элементов'!$E:$E,MATCH($B101,'Типы элементов'!$B:$B,0)),""))</f>
        <v/>
      </c>
      <c r="F101" s="6" t="str">
        <f>IF($B101="","",IFERROR(INDEX('Типы элементов'!$F:$F,MATCH($B101,'Типы элементов'!$B:$B,0)),""))</f>
        <v/>
      </c>
      <c r="G101" s="6" t="str">
        <f>IF($B101="","",IFERROR(INDEX('Типы элементов'!$G:$G,MATCH($B101,'Типы элементов'!$B:$B,0)),""))</f>
        <v/>
      </c>
      <c r="H101" s="6" t="str">
        <f>IF($B101="","",IFERROR(INDEX('Типы элементов'!$H:$H,MATCH($B101,'Типы элементов'!$B:$B,0)),""))</f>
        <v/>
      </c>
      <c r="I101" s="6" t="str">
        <f>IF($B101="","",IFERROR(INDEX('Типы элементов'!$I:$I,MATCH($B101,'Типы элементов'!$B:$B,0)),""))</f>
        <v/>
      </c>
      <c r="J101" s="6" t="str">
        <f>IF($B101="","",IFERROR(INDEX('Типы элементов'!$J:$J,MATCH($B101,'Типы элементов'!$B:$B,0)),""))</f>
        <v/>
      </c>
      <c r="K101" s="6" t="str">
        <f>IF($B101="","",IFERROR(INDEX('Типы элементов'!$K:$K,MATCH($B101,'Типы элементов'!$B:$B,0)),""))</f>
        <v/>
      </c>
      <c r="L101" s="6" t="str">
        <f>IF($B101="","",IFERROR(INDEX('Типы элементов'!$L:$L,MATCH($B101,'Типы элементов'!$B:$B,0)),""))</f>
        <v/>
      </c>
      <c r="M101" s="6" t="str">
        <f>IF($B101="","",IFERROR(INDEX('Типы элементов'!$M:$M,MATCH($B101,'Типы элементов'!$B:$B,0)),""))</f>
        <v/>
      </c>
      <c r="N101" s="6" t="str">
        <f>IF($B101="","",IFERROR(INDEX('Типы элементов'!$N:$N,MATCH($B101,'Типы элементов'!$B:$B,0)),""))</f>
        <v/>
      </c>
      <c r="O101" s="6" t="str">
        <f>IF($B101="","",IFERROR(INDEX('Типы элементов'!$O:$O,MATCH($B101,'Типы элементов'!$B:$B,0)),""))</f>
        <v/>
      </c>
      <c r="P101" s="6" t="str">
        <f>IF($B101="","",IFERROR(INDEX('Типы элементов'!$P:$P,MATCH($B101,'Типы элементов'!$B:$B,0)),""))</f>
        <v/>
      </c>
    </row>
  </sheetData>
  <conditionalFormatting sqref="A2:P101">
    <cfRule type="expression" dxfId="27" priority="1">
      <formula>ISNUMBER(SEARCH("text",$B2))</formula>
    </cfRule>
    <cfRule type="expression" dxfId="26" priority="2">
      <formula>ISNUMBER(SEARCH("title",$B2))</formula>
    </cfRule>
    <cfRule type="expression" dxfId="25" priority="3">
      <formula>ISNUMBER(SEARCH("hero",$B2))</formula>
    </cfRule>
    <cfRule type="expression" dxfId="24" priority="4">
      <formula>ISNUMBER(SEARCH("card",$B2))</formula>
    </cfRule>
    <cfRule type="expression" dxfId="23" priority="5">
      <formula>ISNUMBER(SEARCH("carousel",$B2))</formula>
    </cfRule>
    <cfRule type="expression" dxfId="22" priority="6">
      <formula>ISNUMBER(SEARCH("video",$B2))</formula>
    </cfRule>
    <cfRule type="expression" dxfId="21" priority="7">
      <formula>ISNUMBER(SEARCH("image",$B2))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100-000000000000}">
          <x14:formula1>
            <xm:f>_helper!$A$1:$A$15</xm:f>
          </x14:formula1>
          <xm:sqref>B2:B101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71B40-C674-40FC-B536-0EEEC151F287}">
  <dimension ref="A1:P190"/>
  <sheetViews>
    <sheetView workbookViewId="0">
      <pane ySplit="1" topLeftCell="A2" activePane="bottomLeft" state="frozen"/>
      <selection pane="bottomLeft" activeCell="D11" sqref="D11"/>
    </sheetView>
  </sheetViews>
  <sheetFormatPr defaultRowHeight="14.25"/>
  <cols>
    <col min="1" max="1" width="3.875" bestFit="1" customWidth="1"/>
    <col min="2" max="2" width="24" customWidth="1"/>
    <col min="3" max="11" width="23.125" customWidth="1"/>
    <col min="12" max="16" width="24" customWidth="1"/>
  </cols>
  <sheetData>
    <row r="1" spans="1:16" ht="15">
      <c r="A1" s="5" t="s">
        <v>0</v>
      </c>
      <c r="B1" s="5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8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/>
    </row>
    <row r="2" spans="1:16">
      <c r="A2" s="6">
        <v>1</v>
      </c>
      <c r="B2" s="6" t="s">
        <v>15</v>
      </c>
      <c r="C2" s="9">
        <f>IF($B2="","",IFERROR(VLOOKUP($B2,'Типы элементов'!$A$2:$J$15,2,FALSE),""))</f>
        <v>0</v>
      </c>
      <c r="D2" s="9">
        <f>IF($B2="","",IFERROR(VLOOKUP($B2,'Типы элементов'!$A$2:$J$15,3,FALSE),""))</f>
        <v>0</v>
      </c>
      <c r="E2" s="9" t="s">
        <v>124</v>
      </c>
      <c r="F2" s="9" t="s">
        <v>124</v>
      </c>
      <c r="G2" s="9">
        <f>IF($B2="","",IFERROR(VLOOKUP($B2,'Типы элементов'!$A$2:$J$15,6,FALSE),""))</f>
        <v>0</v>
      </c>
      <c r="H2" s="9">
        <f>IF($B2="","",IFERROR(VLOOKUP($B2,'Типы элементов'!$A$2:$J$15,7,FALSE),""))</f>
        <v>0</v>
      </c>
      <c r="I2" s="9"/>
      <c r="J2" s="9"/>
      <c r="K2" s="10">
        <f>IF($B2="","",IFERROR(VLOOKUP($B2,'Типы элементов'!$A$2:$J$15,10,FALSE),""))</f>
        <v>0</v>
      </c>
      <c r="L2" s="6">
        <f>IF($B2="","",IFERROR(INDEX('Типы элементов'!$L:$L,MATCH($B2,'Типы элементов'!$B:$B,0)),""))</f>
        <v>0</v>
      </c>
      <c r="M2" s="6">
        <f>IF($B2="","",IFERROR(INDEX('Типы элементов'!$M:$M,MATCH($B2,'Типы элементов'!$B:$B,0)),""))</f>
        <v>0</v>
      </c>
      <c r="N2" s="6">
        <f>IF($B2="","",IFERROR(INDEX('Типы элементов'!$N:$N,MATCH($B2,'Типы элементов'!$B:$B,0)),""))</f>
        <v>0</v>
      </c>
      <c r="O2" s="6">
        <f>IF($B2="","",IFERROR(INDEX('Типы элементов'!$O:$O,MATCH($B2,'Типы элементов'!$B:$B,0)),""))</f>
        <v>0</v>
      </c>
      <c r="P2" s="6">
        <f>IF($B2="","",IFERROR(INDEX('Типы элементов'!$P:$P,MATCH($B2,'Типы элементов'!$B:$B,0)),""))</f>
        <v>0</v>
      </c>
    </row>
    <row r="3" spans="1:16">
      <c r="A3" s="6">
        <v>2</v>
      </c>
      <c r="B3" s="6" t="s">
        <v>21</v>
      </c>
      <c r="C3" s="9" t="str">
        <f>IF($B3="","",IFERROR(VLOOKUP($B3,'Типы элементов'!$A$2:$J$15,2,FALSE),""))</f>
        <v>Master the Art of Beauty</v>
      </c>
      <c r="D3" s="9" t="str">
        <f>IF($B3="","",IFERROR(VLOOKUP($B3,'Типы элементов'!$A$2:$J$15,3,FALSE),""))</f>
        <v>Оволодій мистецтвом краси</v>
      </c>
      <c r="E3" s="9">
        <f>IF($B3="","",IFERROR(VLOOKUP($B3,'Типы элементов'!$A$2:$J$15,4,FALSE),""))</f>
        <v>0</v>
      </c>
      <c r="F3" s="9">
        <f>IF($B3="","",IFERROR(VLOOKUP($B3,'Типы элементов'!$A$2:$J$15,5,FALSE),""))</f>
        <v>0</v>
      </c>
      <c r="G3" s="9">
        <f>IF($B3="","",IFERROR(VLOOKUP($B3,'Типы элементов'!$A$2:$J$15,6,FALSE),""))</f>
        <v>0</v>
      </c>
      <c r="H3" s="9">
        <f>IF($B3="","",IFERROR(VLOOKUP($B3,'Типы элементов'!$A$2:$J$15,7,FALSE),""))</f>
        <v>0</v>
      </c>
      <c r="I3" s="9">
        <f>IF($B3="","",IFERROR(VLOOKUP($B3,'Типы элементов'!$A$2:$J$15,8,FALSE),""))</f>
        <v>0</v>
      </c>
      <c r="J3" s="9">
        <f>IF($B3="","",IFERROR(VLOOKUP($B3,'Типы элементов'!$A$2:$J$15,9,FALSE),""))</f>
        <v>0</v>
      </c>
      <c r="K3" s="10">
        <f>IF($B3="","",IFERROR(VLOOKUP($B3,'Типы элементов'!$A$2:$J$15,10,FALSE),""))</f>
        <v>0</v>
      </c>
      <c r="L3" s="6">
        <f>IF($B3="","",IFERROR(INDEX('Типы элементов'!$L:$L,MATCH($B3,'Типы элементов'!$B:$B,0)),""))</f>
        <v>0</v>
      </c>
      <c r="M3" s="6">
        <f>IF($B3="","",IFERROR(INDEX('Типы элементов'!$M:$M,MATCH($B3,'Типы элементов'!$B:$B,0)),""))</f>
        <v>0</v>
      </c>
      <c r="N3" s="6">
        <f>IF($B3="","",IFERROR(INDEX('Типы элементов'!$N:$N,MATCH($B3,'Типы элементов'!$B:$B,0)),""))</f>
        <v>0</v>
      </c>
      <c r="O3" s="6">
        <f>IF($B3="","",IFERROR(INDEX('Типы элементов'!$O:$O,MATCH($B3,'Типы элементов'!$B:$B,0)),""))</f>
        <v>0</v>
      </c>
      <c r="P3" s="6">
        <f>IF($B3="","",IFERROR(INDEX('Типы элементов'!$P:$P,MATCH($B3,'Типы элементов'!$B:$B,0)),""))</f>
        <v>0</v>
      </c>
    </row>
    <row r="4" spans="1:16">
      <c r="A4" s="6">
        <v>3</v>
      </c>
      <c r="B4" s="6" t="s">
        <v>24</v>
      </c>
      <c r="C4" s="9" t="str">
        <f>IF($B4="","",IFERROR(VLOOKUP($B4,'Типы элементов'!$A$2:$J$15,2,FALSE),""))</f>
        <v>Основные направления обучения</v>
      </c>
      <c r="D4" s="9" t="str">
        <f>IF($B4="","",IFERROR(VLOOKUP($B4,'Типы элементов'!$A$2:$J$15,3,FALSE),""))</f>
        <v>Основні напрями навчання</v>
      </c>
      <c r="E4" s="9">
        <f>IF($B4="","",IFERROR(VLOOKUP($B4,'Типы элементов'!$A$2:$J$15,4,FALSE),""))</f>
        <v>0</v>
      </c>
      <c r="F4" s="9">
        <f>IF($B4="","",IFERROR(VLOOKUP($B4,'Типы элементов'!$A$2:$J$15,5,FALSE),""))</f>
        <v>0</v>
      </c>
      <c r="G4" s="9">
        <f>IF($B4="","",IFERROR(VLOOKUP($B4,'Типы элементов'!$A$2:$J$15,6,FALSE),""))</f>
        <v>0</v>
      </c>
      <c r="H4" s="9">
        <f>IF($B4="","",IFERROR(VLOOKUP($B4,'Типы элементов'!$A$2:$J$15,7,FALSE),""))</f>
        <v>0</v>
      </c>
      <c r="I4" s="9">
        <f>IF($B4="","",IFERROR(VLOOKUP($B4,'Типы элементов'!$A$2:$J$15,8,FALSE),""))</f>
        <v>0</v>
      </c>
      <c r="J4" s="9">
        <f>IF($B4="","",IFERROR(VLOOKUP($B4,'Типы элементов'!$A$2:$J$15,9,FALSE),""))</f>
        <v>0</v>
      </c>
      <c r="K4" s="10">
        <f>IF($B4="","",IFERROR(VLOOKUP($B4,'Типы элементов'!$A$2:$J$15,10,FALSE),""))</f>
        <v>0</v>
      </c>
      <c r="L4" s="6">
        <f>IF($B4="","",IFERROR(INDEX('Типы элементов'!$L:$L,MATCH($B4,'Типы элементов'!$B:$B,0)),""))</f>
        <v>0</v>
      </c>
      <c r="M4" s="6">
        <f>IF($B4="","",IFERROR(INDEX('Типы элементов'!$M:$M,MATCH($B4,'Типы элементов'!$B:$B,0)),""))</f>
        <v>0</v>
      </c>
      <c r="N4" s="6">
        <f>IF($B4="","",IFERROR(INDEX('Типы элементов'!$N:$N,MATCH($B4,'Типы элементов'!$B:$B,0)),""))</f>
        <v>0</v>
      </c>
      <c r="O4" s="6">
        <f>IF($B4="","",IFERROR(INDEX('Типы элементов'!$O:$O,MATCH($B4,'Типы элементов'!$B:$B,0)),""))</f>
        <v>0</v>
      </c>
      <c r="P4" s="6">
        <f>IF($B4="","",IFERROR(INDEX('Типы элементов'!$P:$P,MATCH($B4,'Типы элементов'!$B:$B,0)),""))</f>
        <v>0</v>
      </c>
    </row>
    <row r="5" spans="1:16">
      <c r="A5" s="6">
        <v>4</v>
      </c>
      <c r="B5" s="6" t="s">
        <v>27</v>
      </c>
      <c r="C5" s="9" t="str">
        <f>IF($B5="","",IFERROR(VLOOKUP($B5,'Типы элементов'!$A$2:$J$15,2,FALSE),""))</f>
        <v>Добро пожаловать на наш интерактивный курс</v>
      </c>
      <c r="D5" s="9" t="str">
        <f>IF($B5="","",IFERROR(VLOOKUP($B5,'Типы элементов'!$A$2:$J$15,3,FALSE),""))</f>
        <v>Ласкаво просимо на наш інтерактивний курс</v>
      </c>
      <c r="E5" s="9">
        <f>IF($B5="","",IFERROR(VLOOKUP($B5,'Типы элементов'!$A$2:$J$15,4,FALSE),""))</f>
        <v>0</v>
      </c>
      <c r="F5" s="9">
        <f>IF($B5="","",IFERROR(VLOOKUP($B5,'Типы элементов'!$A$2:$J$15,5,FALSE),""))</f>
        <v>0</v>
      </c>
      <c r="G5" s="9">
        <f>IF($B5="","",IFERROR(VLOOKUP($B5,'Типы элементов'!$A$2:$J$15,6,FALSE),""))</f>
        <v>0</v>
      </c>
      <c r="H5" s="9">
        <f>IF($B5="","",IFERROR(VLOOKUP($B5,'Типы элементов'!$A$2:$J$15,7,FALSE),""))</f>
        <v>0</v>
      </c>
      <c r="I5" s="9">
        <f>IF($B5="","",IFERROR(VLOOKUP($B5,'Типы элементов'!$A$2:$J$15,8,FALSE),""))</f>
        <v>0</v>
      </c>
      <c r="J5" s="9">
        <f>IF($B5="","",IFERROR(VLOOKUP($B5,'Типы элементов'!$A$2:$J$15,9,FALSE),""))</f>
        <v>0</v>
      </c>
      <c r="K5" s="10">
        <f>IF($B5="","",IFERROR(VLOOKUP($B5,'Типы элементов'!$A$2:$J$15,10,FALSE),""))</f>
        <v>0</v>
      </c>
      <c r="L5" s="6">
        <f>IF($B5="","",IFERROR(INDEX('Типы элементов'!$L:$L,MATCH($B5,'Типы элементов'!$B:$B,0)),""))</f>
        <v>0</v>
      </c>
      <c r="M5" s="6">
        <f>IF($B5="","",IFERROR(INDEX('Типы элементов'!$M:$M,MATCH($B5,'Типы элементов'!$B:$B,0)),""))</f>
        <v>0</v>
      </c>
      <c r="N5" s="6">
        <f>IF($B5="","",IFERROR(INDEX('Типы элементов'!$N:$N,MATCH($B5,'Типы элементов'!$B:$B,0)),""))</f>
        <v>0</v>
      </c>
      <c r="O5" s="6">
        <f>IF($B5="","",IFERROR(INDEX('Типы элементов'!$O:$O,MATCH($B5,'Типы элементов'!$B:$B,0)),""))</f>
        <v>0</v>
      </c>
      <c r="P5" s="6">
        <f>IF($B5="","",IFERROR(INDEX('Типы элементов'!$P:$P,MATCH($B5,'Типы элементов'!$B:$B,0)),""))</f>
        <v>0</v>
      </c>
    </row>
    <row r="6" spans="1:16">
      <c r="A6" s="6">
        <v>5</v>
      </c>
      <c r="B6" s="6" t="s">
        <v>36</v>
      </c>
      <c r="C6" s="9">
        <f>IF($B6="","",IFERROR(VLOOKUP($B6,'Типы элементов'!$A$2:$J$15,2,FALSE),""))</f>
        <v>0</v>
      </c>
      <c r="D6" s="9">
        <f>IF($B6="","",IFERROR(VLOOKUP($B6,'Типы элементов'!$A$2:$J$15,3,FALSE),""))</f>
        <v>0</v>
      </c>
      <c r="E6" s="9" t="s">
        <v>124</v>
      </c>
      <c r="F6" s="9" t="s">
        <v>124</v>
      </c>
      <c r="G6" s="9" t="s">
        <v>79</v>
      </c>
      <c r="H6" s="9" t="s">
        <v>80</v>
      </c>
      <c r="I6" s="9" t="s">
        <v>81</v>
      </c>
      <c r="J6" s="9" t="s">
        <v>81</v>
      </c>
      <c r="K6" s="9" t="s">
        <v>82</v>
      </c>
      <c r="L6" s="6">
        <f>IF($B6="","",IFERROR(INDEX('Типы элементов'!$L:$L,MATCH($B6,'Типы элементов'!$B:$B,0)),""))</f>
        <v>0</v>
      </c>
      <c r="M6" s="6">
        <f>IF($B6="","",IFERROR(INDEX('Типы элементов'!$M:$M,MATCH($B6,'Типы элементов'!$B:$B,0)),""))</f>
        <v>0</v>
      </c>
      <c r="N6" s="6">
        <f>IF($B6="","",IFERROR(INDEX('Типы элементов'!$N:$N,MATCH($B6,'Типы элементов'!$B:$B,0)),""))</f>
        <v>0</v>
      </c>
      <c r="O6" s="6">
        <f>IF($B6="","",IFERROR(INDEX('Типы элементов'!$O:$O,MATCH($B6,'Типы элементов'!$B:$B,0)),""))</f>
        <v>0</v>
      </c>
      <c r="P6" s="6">
        <f>IF($B6="","",IFERROR(INDEX('Типы элементов'!$P:$P,MATCH($B6,'Типы элементов'!$B:$B,0)),""))</f>
        <v>0</v>
      </c>
    </row>
    <row r="7" spans="1:16" ht="15">
      <c r="A7" s="6">
        <v>6</v>
      </c>
      <c r="B7" s="6" t="s">
        <v>36</v>
      </c>
      <c r="C7" s="9">
        <f>IF($B7="","",IFERROR(VLOOKUP($B7,'Типы элементов'!$A$2:$J$15,2,FALSE),""))</f>
        <v>0</v>
      </c>
      <c r="D7" s="9">
        <f>IF($B7="","",IFERROR(VLOOKUP($B7,'Типы элементов'!$A$2:$J$15,3,FALSE),""))</f>
        <v>0</v>
      </c>
      <c r="E7" s="9" t="s">
        <v>124</v>
      </c>
      <c r="F7" s="9" t="s">
        <v>124</v>
      </c>
      <c r="G7" s="9" t="s">
        <v>83</v>
      </c>
      <c r="H7" s="9" t="s">
        <v>83</v>
      </c>
      <c r="I7" s="9" t="s">
        <v>83</v>
      </c>
      <c r="J7" s="9" t="s">
        <v>83</v>
      </c>
      <c r="K7" s="9" t="s">
        <v>84</v>
      </c>
      <c r="L7" s="6">
        <f>IF($B7="","",IFERROR(INDEX('Типы элементов'!$L:$L,MATCH($B7,'Типы элементов'!$B:$B,0)),""))</f>
        <v>0</v>
      </c>
      <c r="M7" s="6">
        <f>IF($B7="","",IFERROR(INDEX('Типы элементов'!$M:$M,MATCH($B7,'Типы элементов'!$B:$B,0)),""))</f>
        <v>0</v>
      </c>
      <c r="N7" s="6">
        <f>IF($B7="","",IFERROR(INDEX('Типы элементов'!$N:$N,MATCH($B7,'Типы элементов'!$B:$B,0)),""))</f>
        <v>0</v>
      </c>
      <c r="O7" s="6">
        <f>IF($B7="","",IFERROR(INDEX('Типы элементов'!$O:$O,MATCH($B7,'Типы элементов'!$B:$B,0)),""))</f>
        <v>0</v>
      </c>
      <c r="P7" s="6">
        <f>IF($B7="","",IFERROR(INDEX('Типы элементов'!$P:$P,MATCH($B7,'Типы элементов'!$B:$B,0)),""))</f>
        <v>0</v>
      </c>
    </row>
    <row r="8" spans="1:16">
      <c r="A8" s="6">
        <v>7</v>
      </c>
      <c r="B8" s="6"/>
      <c r="C8" s="9" t="str">
        <f>IF($B8="","",IFERROR(VLOOKUP($B8,'Типы элементов'!$A$2:$J$15,2,FALSE),""))</f>
        <v/>
      </c>
      <c r="D8" s="9" t="str">
        <f>IF($B8="","",IFERROR(VLOOKUP($B8,'Типы элементов'!$A$2:$J$15,3,FALSE),""))</f>
        <v/>
      </c>
      <c r="E8" s="9" t="str">
        <f>IF($B8="","",IFERROR(VLOOKUP($B8,'Типы элементов'!$A$2:$J$15,4,FALSE),""))</f>
        <v/>
      </c>
      <c r="F8" s="9" t="str">
        <f>IF($B8="","",IFERROR(VLOOKUP($B8,'Типы элементов'!$A$2:$J$15,5,FALSE),""))</f>
        <v/>
      </c>
      <c r="G8" s="9" t="str">
        <f>IF($B8="","",IFERROR(VLOOKUP($B8,'Типы элементов'!$A$2:$J$15,6,FALSE),""))</f>
        <v/>
      </c>
      <c r="H8" s="9" t="str">
        <f>IF($B8="","",IFERROR(VLOOKUP($B8,'Типы элементов'!$A$2:$J$15,7,FALSE),""))</f>
        <v/>
      </c>
      <c r="I8" s="9" t="str">
        <f>IF($B8="","",IFERROR(VLOOKUP($B8,'Типы элементов'!$A$2:$J$15,8,FALSE),""))</f>
        <v/>
      </c>
      <c r="J8" s="9" t="str">
        <f>IF($B8="","",IFERROR(VLOOKUP($B8,'Типы элементов'!$A$2:$J$15,9,FALSE),""))</f>
        <v/>
      </c>
      <c r="K8" s="10" t="str">
        <f>IF($B8="","",IFERROR(VLOOKUP($B8,'Типы элементов'!$A$2:$J$15,10,FALSE),""))</f>
        <v/>
      </c>
      <c r="L8" s="6" t="str">
        <f>IF($B8="","",IFERROR(INDEX('Типы элементов'!$L:$L,MATCH($B8,'Типы элементов'!$B:$B,0)),""))</f>
        <v/>
      </c>
      <c r="M8" s="6" t="str">
        <f>IF($B8="","",IFERROR(INDEX('Типы элементов'!$M:$M,MATCH($B8,'Типы элементов'!$B:$B,0)),""))</f>
        <v/>
      </c>
      <c r="N8" s="6" t="str">
        <f>IF($B8="","",IFERROR(INDEX('Типы элементов'!$N:$N,MATCH($B8,'Типы элементов'!$B:$B,0)),""))</f>
        <v/>
      </c>
      <c r="O8" s="6" t="str">
        <f>IF($B8="","",IFERROR(INDEX('Типы элементов'!$O:$O,MATCH($B8,'Типы элементов'!$B:$B,0)),""))</f>
        <v/>
      </c>
      <c r="P8" s="6" t="str">
        <f>IF($B8="","",IFERROR(INDEX('Типы элементов'!$P:$P,MATCH($B8,'Типы элементов'!$B:$B,0)),""))</f>
        <v/>
      </c>
    </row>
    <row r="9" spans="1:16">
      <c r="A9" s="6">
        <v>8</v>
      </c>
      <c r="B9" s="6"/>
      <c r="C9" s="9" t="str">
        <f>IF($B9="","",IFERROR(VLOOKUP($B9,'Типы элементов'!$A$2:$J$15,2,FALSE),""))</f>
        <v/>
      </c>
      <c r="D9" s="9" t="str">
        <f>IF($B9="","",IFERROR(VLOOKUP($B9,'Типы элементов'!$A$2:$J$15,3,FALSE),""))</f>
        <v/>
      </c>
      <c r="E9" s="9" t="str">
        <f>IF($B9="","",IFERROR(VLOOKUP($B9,'Типы элементов'!$A$2:$J$15,4,FALSE),""))</f>
        <v/>
      </c>
      <c r="F9" s="9" t="str">
        <f>IF($B9="","",IFERROR(VLOOKUP($B9,'Типы элементов'!$A$2:$J$15,5,FALSE),""))</f>
        <v/>
      </c>
      <c r="G9" s="9" t="str">
        <f>IF($B9="","",IFERROR(VLOOKUP($B9,'Типы элементов'!$A$2:$J$15,6,FALSE),""))</f>
        <v/>
      </c>
      <c r="H9" s="9" t="str">
        <f>IF($B9="","",IFERROR(VLOOKUP($B9,'Типы элементов'!$A$2:$J$15,7,FALSE),""))</f>
        <v/>
      </c>
      <c r="I9" s="9" t="str">
        <f>IF($B9="","",IFERROR(VLOOKUP($B9,'Типы элементов'!$A$2:$J$15,8,FALSE),""))</f>
        <v/>
      </c>
      <c r="J9" s="9" t="str">
        <f>IF($B9="","",IFERROR(VLOOKUP($B9,'Типы элементов'!$A$2:$J$15,9,FALSE),""))</f>
        <v/>
      </c>
      <c r="K9" s="10" t="str">
        <f>IF($B9="","",IFERROR(VLOOKUP($B9,'Типы элементов'!$A$2:$J$15,10,FALSE),""))</f>
        <v/>
      </c>
      <c r="L9" s="6" t="str">
        <f>IF($B9="","",IFERROR(INDEX('Типы элементов'!$L:$L,MATCH($B9,'Типы элементов'!$B:$B,0)),""))</f>
        <v/>
      </c>
      <c r="M9" s="6" t="str">
        <f>IF($B9="","",IFERROR(INDEX('Типы элементов'!$M:$M,MATCH($B9,'Типы элементов'!$B:$B,0)),""))</f>
        <v/>
      </c>
      <c r="N9" s="6" t="str">
        <f>IF($B9="","",IFERROR(INDEX('Типы элементов'!$N:$N,MATCH($B9,'Типы элементов'!$B:$B,0)),""))</f>
        <v/>
      </c>
      <c r="O9" s="6" t="str">
        <f>IF($B9="","",IFERROR(INDEX('Типы элементов'!$O:$O,MATCH($B9,'Типы элементов'!$B:$B,0)),""))</f>
        <v/>
      </c>
      <c r="P9" s="6" t="str">
        <f>IF($B9="","",IFERROR(INDEX('Типы элементов'!$P:$P,MATCH($B9,'Типы элементов'!$B:$B,0)),""))</f>
        <v/>
      </c>
    </row>
    <row r="10" spans="1:16">
      <c r="A10" s="6">
        <v>9</v>
      </c>
      <c r="B10" s="6"/>
      <c r="C10" s="9" t="str">
        <f>IF($B10="","",IFERROR(VLOOKUP($B10,'Типы элементов'!$A$2:$J$15,2,FALSE),""))</f>
        <v/>
      </c>
      <c r="D10" s="9" t="str">
        <f>IF($B10="","",IFERROR(VLOOKUP($B10,'Типы элементов'!$A$2:$J$15,3,FALSE),""))</f>
        <v/>
      </c>
      <c r="E10" s="9" t="str">
        <f>IF($B10="","",IFERROR(VLOOKUP($B10,'Типы элементов'!$A$2:$J$15,4,FALSE),""))</f>
        <v/>
      </c>
      <c r="F10" s="9" t="str">
        <f>IF($B10="","",IFERROR(VLOOKUP($B10,'Типы элементов'!$A$2:$J$15,5,FALSE),""))</f>
        <v/>
      </c>
      <c r="G10" s="9" t="str">
        <f>IF($B10="","",IFERROR(VLOOKUP($B10,'Типы элементов'!$A$2:$J$15,6,FALSE),""))</f>
        <v/>
      </c>
      <c r="H10" s="9" t="str">
        <f>IF($B10="","",IFERROR(VLOOKUP($B10,'Типы элементов'!$A$2:$J$15,7,FALSE),""))</f>
        <v/>
      </c>
      <c r="I10" s="9" t="str">
        <f>IF($B10="","",IFERROR(VLOOKUP($B10,'Типы элементов'!$A$2:$J$15,8,FALSE),""))</f>
        <v/>
      </c>
      <c r="J10" s="9" t="str">
        <f>IF($B10="","",IFERROR(VLOOKUP($B10,'Типы элементов'!$A$2:$J$15,9,FALSE),""))</f>
        <v/>
      </c>
      <c r="K10" s="10" t="str">
        <f>IF($B10="","",IFERROR(VLOOKUP($B10,'Типы элементов'!$A$2:$J$15,10,FALSE),""))</f>
        <v/>
      </c>
      <c r="L10" s="6" t="str">
        <f>IF($B10="","",IFERROR(INDEX('Типы элементов'!$L:$L,MATCH($B10,'Типы элементов'!$B:$B,0)),""))</f>
        <v/>
      </c>
      <c r="M10" s="6" t="str">
        <f>IF($B10="","",IFERROR(INDEX('Типы элементов'!$M:$M,MATCH($B10,'Типы элементов'!$B:$B,0)),""))</f>
        <v/>
      </c>
      <c r="N10" s="6" t="str">
        <f>IF($B10="","",IFERROR(INDEX('Типы элементов'!$N:$N,MATCH($B10,'Типы элементов'!$B:$B,0)),""))</f>
        <v/>
      </c>
      <c r="O10" s="6" t="str">
        <f>IF($B10="","",IFERROR(INDEX('Типы элементов'!$O:$O,MATCH($B10,'Типы элементов'!$B:$B,0)),""))</f>
        <v/>
      </c>
      <c r="P10" s="6" t="str">
        <f>IF($B10="","",IFERROR(INDEX('Типы элементов'!$P:$P,MATCH($B10,'Типы элементов'!$B:$B,0)),""))</f>
        <v/>
      </c>
    </row>
    <row r="11" spans="1:16">
      <c r="A11" s="6">
        <v>10</v>
      </c>
      <c r="B11" s="6"/>
      <c r="C11" s="9" t="str">
        <f>IF($B11="","",IFERROR(VLOOKUP($B11,'Типы элементов'!$A$2:$J$15,2,FALSE),""))</f>
        <v/>
      </c>
      <c r="D11" s="9" t="s">
        <v>85</v>
      </c>
      <c r="E11" s="9" t="str">
        <f>IF($B11="","",IFERROR(VLOOKUP($B11,'Типы элементов'!$A$2:$J$15,4,FALSE),""))</f>
        <v/>
      </c>
      <c r="F11" s="9" t="str">
        <f>IF($B11="","",IFERROR(VLOOKUP($B11,'Типы элементов'!$A$2:$J$15,5,FALSE),""))</f>
        <v/>
      </c>
      <c r="G11" s="9" t="str">
        <f>IF($B11="","",IFERROR(VLOOKUP($B11,'Типы элементов'!$A$2:$J$15,6,FALSE),""))</f>
        <v/>
      </c>
      <c r="H11" s="9" t="str">
        <f>IF($B11="","",IFERROR(VLOOKUP($B11,'Типы элементов'!$A$2:$J$15,7,FALSE),""))</f>
        <v/>
      </c>
      <c r="I11" s="9" t="str">
        <f>IF($B11="","",IFERROR(VLOOKUP($B11,'Типы элементов'!$A$2:$J$15,8,FALSE),""))</f>
        <v/>
      </c>
      <c r="J11" s="9" t="str">
        <f>IF($B11="","",IFERROR(VLOOKUP($B11,'Типы элементов'!$A$2:$J$15,9,FALSE),""))</f>
        <v/>
      </c>
      <c r="K11" s="10" t="str">
        <f>IF($B11="","",IFERROR(VLOOKUP($B11,'Типы элементов'!$A$2:$J$15,10,FALSE),""))</f>
        <v/>
      </c>
      <c r="L11" s="6" t="str">
        <f>IF($B11="","",IFERROR(INDEX('Типы элементов'!$L:$L,MATCH($B11,'Типы элементов'!$B:$B,0)),""))</f>
        <v/>
      </c>
      <c r="M11" s="6" t="str">
        <f>IF($B11="","",IFERROR(INDEX('Типы элементов'!$M:$M,MATCH($B11,'Типы элементов'!$B:$B,0)),""))</f>
        <v/>
      </c>
      <c r="N11" s="6" t="str">
        <f>IF($B11="","",IFERROR(INDEX('Типы элементов'!$N:$N,MATCH($B11,'Типы элементов'!$B:$B,0)),""))</f>
        <v/>
      </c>
      <c r="O11" s="6" t="str">
        <f>IF($B11="","",IFERROR(INDEX('Типы элементов'!$O:$O,MATCH($B11,'Типы элементов'!$B:$B,0)),""))</f>
        <v/>
      </c>
      <c r="P11" s="6" t="str">
        <f>IF($B11="","",IFERROR(INDEX('Типы элементов'!$P:$P,MATCH($B11,'Типы элементов'!$B:$B,0)),""))</f>
        <v/>
      </c>
    </row>
    <row r="12" spans="1:16">
      <c r="A12" s="6">
        <v>11</v>
      </c>
      <c r="B12" s="6"/>
      <c r="C12" s="9" t="str">
        <f>IF($B12="","",IFERROR(VLOOKUP($B12,'Типы элементов'!$A$2:$J$15,2,FALSE),""))</f>
        <v/>
      </c>
      <c r="D12" s="9" t="str">
        <f>IF($B12="","",IFERROR(VLOOKUP($B12,'Типы элементов'!$A$2:$J$15,3,FALSE),""))</f>
        <v/>
      </c>
      <c r="E12" s="9" t="str">
        <f>IF($B12="","",IFERROR(VLOOKUP($B12,'Типы элементов'!$A$2:$J$15,4,FALSE),""))</f>
        <v/>
      </c>
      <c r="F12" s="9" t="str">
        <f>IF($B12="","",IFERROR(VLOOKUP($B12,'Типы элементов'!$A$2:$J$15,5,FALSE),""))</f>
        <v/>
      </c>
      <c r="G12" s="9" t="str">
        <f>IF($B12="","",IFERROR(VLOOKUP($B12,'Типы элементов'!$A$2:$J$15,6,FALSE),""))</f>
        <v/>
      </c>
      <c r="H12" s="9" t="str">
        <f>IF($B12="","",IFERROR(VLOOKUP($B12,'Типы элементов'!$A$2:$J$15,7,FALSE),""))</f>
        <v/>
      </c>
      <c r="I12" s="9" t="str">
        <f>IF($B12="","",IFERROR(VLOOKUP($B12,'Типы элементов'!$A$2:$J$15,8,FALSE),""))</f>
        <v/>
      </c>
      <c r="J12" s="9" t="str">
        <f>IF($B12="","",IFERROR(VLOOKUP($B12,'Типы элементов'!$A$2:$J$15,9,FALSE),""))</f>
        <v/>
      </c>
      <c r="K12" s="10" t="str">
        <f>IF($B12="","",IFERROR(VLOOKUP($B12,'Типы элементов'!$A$2:$J$15,10,FALSE),""))</f>
        <v/>
      </c>
      <c r="L12" s="6" t="str">
        <f>IF($B12="","",IFERROR(INDEX('Типы элементов'!$L:$L,MATCH($B12,'Типы элементов'!$B:$B,0)),""))</f>
        <v/>
      </c>
      <c r="M12" s="6" t="str">
        <f>IF($B12="","",IFERROR(INDEX('Типы элементов'!$M:$M,MATCH($B12,'Типы элементов'!$B:$B,0)),""))</f>
        <v/>
      </c>
      <c r="N12" s="6" t="str">
        <f>IF($B12="","",IFERROR(INDEX('Типы элементов'!$N:$N,MATCH($B12,'Типы элементов'!$B:$B,0)),""))</f>
        <v/>
      </c>
      <c r="O12" s="6" t="str">
        <f>IF($B12="","",IFERROR(INDEX('Типы элементов'!$O:$O,MATCH($B12,'Типы элементов'!$B:$B,0)),""))</f>
        <v/>
      </c>
      <c r="P12" s="6" t="str">
        <f>IF($B12="","",IFERROR(INDEX('Типы элементов'!$P:$P,MATCH($B12,'Типы элементов'!$B:$B,0)),""))</f>
        <v/>
      </c>
    </row>
    <row r="13" spans="1:16">
      <c r="A13" s="6">
        <v>12</v>
      </c>
      <c r="B13" s="6"/>
      <c r="C13" s="9" t="str">
        <f>IF($B13="","",IFERROR(VLOOKUP($B13,'Типы элементов'!$A$2:$J$15,2,FALSE),""))</f>
        <v/>
      </c>
      <c r="D13" s="9" t="str">
        <f>IF($B13="","",IFERROR(VLOOKUP($B13,'Типы элементов'!$A$2:$J$15,3,FALSE),""))</f>
        <v/>
      </c>
      <c r="E13" s="9" t="str">
        <f>IF($B13="","",IFERROR(VLOOKUP($B13,'Типы элементов'!$A$2:$J$15,4,FALSE),""))</f>
        <v/>
      </c>
      <c r="F13" s="9" t="str">
        <f>IF($B13="","",IFERROR(VLOOKUP($B13,'Типы элементов'!$A$2:$J$15,5,FALSE),""))</f>
        <v/>
      </c>
      <c r="G13" s="9" t="str">
        <f>IF($B13="","",IFERROR(VLOOKUP($B13,'Типы элементов'!$A$2:$J$15,6,FALSE),""))</f>
        <v/>
      </c>
      <c r="H13" s="9" t="str">
        <f>IF($B13="","",IFERROR(VLOOKUP($B13,'Типы элементов'!$A$2:$J$15,7,FALSE),""))</f>
        <v/>
      </c>
      <c r="I13" s="9" t="str">
        <f>IF($B13="","",IFERROR(VLOOKUP($B13,'Типы элементов'!$A$2:$J$15,8,FALSE),""))</f>
        <v/>
      </c>
      <c r="J13" s="9" t="str">
        <f>IF($B13="","",IFERROR(VLOOKUP($B13,'Типы элементов'!$A$2:$J$15,9,FALSE),""))</f>
        <v/>
      </c>
      <c r="K13" s="10" t="str">
        <f>IF($B13="","",IFERROR(VLOOKUP($B13,'Типы элементов'!$A$2:$J$15,10,FALSE),""))</f>
        <v/>
      </c>
      <c r="L13" s="6" t="str">
        <f>IF($B13="","",IFERROR(INDEX('Типы элементов'!$L:$L,MATCH($B13,'Типы элементов'!$B:$B,0)),""))</f>
        <v/>
      </c>
      <c r="M13" s="6" t="str">
        <f>IF($B13="","",IFERROR(INDEX('Типы элементов'!$M:$M,MATCH($B13,'Типы элементов'!$B:$B,0)),""))</f>
        <v/>
      </c>
      <c r="N13" s="6" t="str">
        <f>IF($B13="","",IFERROR(INDEX('Типы элементов'!$N:$N,MATCH($B13,'Типы элементов'!$B:$B,0)),""))</f>
        <v/>
      </c>
      <c r="O13" s="6" t="str">
        <f>IF($B13="","",IFERROR(INDEX('Типы элементов'!$O:$O,MATCH($B13,'Типы элементов'!$B:$B,0)),""))</f>
        <v/>
      </c>
      <c r="P13" s="6" t="str">
        <f>IF($B13="","",IFERROR(INDEX('Типы элементов'!$P:$P,MATCH($B13,'Типы элементов'!$B:$B,0)),""))</f>
        <v/>
      </c>
    </row>
    <row r="14" spans="1:16">
      <c r="A14" s="6">
        <v>13</v>
      </c>
      <c r="B14" s="6"/>
      <c r="C14" s="9" t="str">
        <f>IF($B14="","",IFERROR(VLOOKUP($B14,'Типы элементов'!$A$2:$J$15,2,FALSE),""))</f>
        <v/>
      </c>
      <c r="D14" s="9" t="str">
        <f>IF($B14="","",IFERROR(VLOOKUP($B14,'Типы элементов'!$A$2:$J$15,3,FALSE),""))</f>
        <v/>
      </c>
      <c r="E14" s="9" t="str">
        <f>IF($B14="","",IFERROR(VLOOKUP($B14,'Типы элементов'!$A$2:$J$15,4,FALSE),""))</f>
        <v/>
      </c>
      <c r="F14" s="9" t="str">
        <f>IF($B14="","",IFERROR(VLOOKUP($B14,'Типы элементов'!$A$2:$J$15,5,FALSE),""))</f>
        <v/>
      </c>
      <c r="G14" s="9" t="str">
        <f>IF($B14="","",IFERROR(VLOOKUP($B14,'Типы элементов'!$A$2:$J$15,6,FALSE),""))</f>
        <v/>
      </c>
      <c r="H14" s="9" t="str">
        <f>IF($B14="","",IFERROR(VLOOKUP($B14,'Типы элементов'!$A$2:$J$15,7,FALSE),""))</f>
        <v/>
      </c>
      <c r="I14" s="9" t="str">
        <f>IF($B14="","",IFERROR(VLOOKUP($B14,'Типы элементов'!$A$2:$J$15,8,FALSE),""))</f>
        <v/>
      </c>
      <c r="J14" s="9" t="str">
        <f>IF($B14="","",IFERROR(VLOOKUP($B14,'Типы элементов'!$A$2:$J$15,9,FALSE),""))</f>
        <v/>
      </c>
      <c r="K14" s="10" t="str">
        <f>IF($B14="","",IFERROR(VLOOKUP($B14,'Типы элементов'!$A$2:$J$15,10,FALSE),""))</f>
        <v/>
      </c>
      <c r="L14" s="6" t="str">
        <f>IF($B14="","",IFERROR(INDEX('Типы элементов'!$L:$L,MATCH($B14,'Типы элементов'!$B:$B,0)),""))</f>
        <v/>
      </c>
      <c r="M14" s="6" t="str">
        <f>IF($B14="","",IFERROR(INDEX('Типы элементов'!$M:$M,MATCH($B14,'Типы элементов'!$B:$B,0)),""))</f>
        <v/>
      </c>
      <c r="N14" s="6" t="str">
        <f>IF($B14="","",IFERROR(INDEX('Типы элементов'!$N:$N,MATCH($B14,'Типы элементов'!$B:$B,0)),""))</f>
        <v/>
      </c>
      <c r="O14" s="6" t="str">
        <f>IF($B14="","",IFERROR(INDEX('Типы элементов'!$O:$O,MATCH($B14,'Типы элементов'!$B:$B,0)),""))</f>
        <v/>
      </c>
      <c r="P14" s="6" t="str">
        <f>IF($B14="","",IFERROR(INDEX('Типы элементов'!$P:$P,MATCH($B14,'Типы элементов'!$B:$B,0)),""))</f>
        <v/>
      </c>
    </row>
    <row r="15" spans="1:16">
      <c r="A15" s="6">
        <v>14</v>
      </c>
      <c r="B15" s="6"/>
      <c r="C15" s="9" t="str">
        <f>IF($B15="","",IFERROR(VLOOKUP($B15,'Типы элементов'!$A$2:$J$15,2,FALSE),""))</f>
        <v/>
      </c>
      <c r="D15" s="9" t="str">
        <f>IF($B15="","",IFERROR(VLOOKUP($B15,'Типы элементов'!$A$2:$J$15,3,FALSE),""))</f>
        <v/>
      </c>
      <c r="E15" s="9" t="str">
        <f>IF($B15="","",IFERROR(VLOOKUP($B15,'Типы элементов'!$A$2:$J$15,4,FALSE),""))</f>
        <v/>
      </c>
      <c r="F15" s="9" t="str">
        <f>IF($B15="","",IFERROR(VLOOKUP($B15,'Типы элементов'!$A$2:$J$15,5,FALSE),""))</f>
        <v/>
      </c>
      <c r="G15" s="9" t="str">
        <f>IF($B15="","",IFERROR(VLOOKUP($B15,'Типы элементов'!$A$2:$J$15,6,FALSE),""))</f>
        <v/>
      </c>
      <c r="H15" s="9" t="str">
        <f>IF($B15="","",IFERROR(VLOOKUP($B15,'Типы элементов'!$A$2:$J$15,7,FALSE),""))</f>
        <v/>
      </c>
      <c r="I15" s="9" t="str">
        <f>IF($B15="","",IFERROR(VLOOKUP($B15,'Типы элементов'!$A$2:$J$15,8,FALSE),""))</f>
        <v/>
      </c>
      <c r="J15" s="9" t="str">
        <f>IF($B15="","",IFERROR(VLOOKUP($B15,'Типы элементов'!$A$2:$J$15,9,FALSE),""))</f>
        <v/>
      </c>
      <c r="K15" s="10" t="str">
        <f>IF($B15="","",IFERROR(VLOOKUP($B15,'Типы элементов'!$A$2:$J$15,10,FALSE),""))</f>
        <v/>
      </c>
      <c r="L15" s="6" t="str">
        <f>IF($B15="","",IFERROR(INDEX('Типы элементов'!$L:$L,MATCH($B15,'Типы элементов'!$B:$B,0)),""))</f>
        <v/>
      </c>
      <c r="M15" s="6" t="str">
        <f>IF($B15="","",IFERROR(INDEX('Типы элементов'!$M:$M,MATCH($B15,'Типы элементов'!$B:$B,0)),""))</f>
        <v/>
      </c>
      <c r="N15" s="6" t="str">
        <f>IF($B15="","",IFERROR(INDEX('Типы элементов'!$N:$N,MATCH($B15,'Типы элементов'!$B:$B,0)),""))</f>
        <v/>
      </c>
      <c r="O15" s="6" t="str">
        <f>IF($B15="","",IFERROR(INDEX('Типы элементов'!$O:$O,MATCH($B15,'Типы элементов'!$B:$B,0)),""))</f>
        <v/>
      </c>
      <c r="P15" s="6" t="str">
        <f>IF($B15="","",IFERROR(INDEX('Типы элементов'!$P:$P,MATCH($B15,'Типы элементов'!$B:$B,0)),""))</f>
        <v/>
      </c>
    </row>
    <row r="16" spans="1:16">
      <c r="A16" s="6">
        <v>15</v>
      </c>
      <c r="B16" s="6"/>
      <c r="C16" s="9" t="str">
        <f>IF($B16="","",IFERROR(VLOOKUP($B16,'Типы элементов'!$A$2:$J$15,2,FALSE),""))</f>
        <v/>
      </c>
      <c r="D16" s="9" t="str">
        <f>IF($B16="","",IFERROR(VLOOKUP($B16,'Типы элементов'!$A$2:$J$15,3,FALSE),""))</f>
        <v/>
      </c>
      <c r="E16" s="9" t="str">
        <f>IF($B16="","",IFERROR(VLOOKUP($B16,'Типы элементов'!$A$2:$J$15,4,FALSE),""))</f>
        <v/>
      </c>
      <c r="F16" s="9" t="str">
        <f>IF($B16="","",IFERROR(VLOOKUP($B16,'Типы элементов'!$A$2:$J$15,5,FALSE),""))</f>
        <v/>
      </c>
      <c r="G16" s="9" t="str">
        <f>IF($B16="","",IFERROR(VLOOKUP($B16,'Типы элементов'!$A$2:$J$15,6,FALSE),""))</f>
        <v/>
      </c>
      <c r="H16" s="9" t="str">
        <f>IF($B16="","",IFERROR(VLOOKUP($B16,'Типы элементов'!$A$2:$J$15,7,FALSE),""))</f>
        <v/>
      </c>
      <c r="I16" s="9" t="str">
        <f>IF($B16="","",IFERROR(VLOOKUP($B16,'Типы элементов'!$A$2:$J$15,8,FALSE),""))</f>
        <v/>
      </c>
      <c r="J16" s="9" t="str">
        <f>IF($B16="","",IFERROR(VLOOKUP($B16,'Типы элементов'!$A$2:$J$15,9,FALSE),""))</f>
        <v/>
      </c>
      <c r="K16" s="10" t="str">
        <f>IF($B16="","",IFERROR(VLOOKUP($B16,'Типы элементов'!$A$2:$J$15,10,FALSE),""))</f>
        <v/>
      </c>
      <c r="L16" s="6" t="str">
        <f>IF($B16="","",IFERROR(INDEX('Типы элементов'!$L:$L,MATCH($B16,'Типы элементов'!$B:$B,0)),""))</f>
        <v/>
      </c>
      <c r="M16" s="6" t="str">
        <f>IF($B16="","",IFERROR(INDEX('Типы элементов'!$M:$M,MATCH($B16,'Типы элементов'!$B:$B,0)),""))</f>
        <v/>
      </c>
      <c r="N16" s="6" t="str">
        <f>IF($B16="","",IFERROR(INDEX('Типы элементов'!$N:$N,MATCH($B16,'Типы элементов'!$B:$B,0)),""))</f>
        <v/>
      </c>
      <c r="O16" s="6" t="str">
        <f>IF($B16="","",IFERROR(INDEX('Типы элементов'!$O:$O,MATCH($B16,'Типы элементов'!$B:$B,0)),""))</f>
        <v/>
      </c>
      <c r="P16" s="6" t="str">
        <f>IF($B16="","",IFERROR(INDEX('Типы элементов'!$P:$P,MATCH($B16,'Типы элементов'!$B:$B,0)),""))</f>
        <v/>
      </c>
    </row>
    <row r="17" spans="1:16">
      <c r="A17" s="6">
        <v>16</v>
      </c>
      <c r="B17" s="6"/>
      <c r="C17" s="9" t="str">
        <f>IF($B17="","",IFERROR(VLOOKUP($B17,'Типы элементов'!$A$2:$J$15,2,FALSE),""))</f>
        <v/>
      </c>
      <c r="D17" s="9" t="str">
        <f>IF($B17="","",IFERROR(VLOOKUP($B17,'Типы элементов'!$A$2:$J$15,3,FALSE),""))</f>
        <v/>
      </c>
      <c r="E17" s="9" t="str">
        <f>IF($B17="","",IFERROR(VLOOKUP($B17,'Типы элементов'!$A$2:$J$15,4,FALSE),""))</f>
        <v/>
      </c>
      <c r="F17" s="9" t="str">
        <f>IF($B17="","",IFERROR(VLOOKUP($B17,'Типы элементов'!$A$2:$J$15,5,FALSE),""))</f>
        <v/>
      </c>
      <c r="G17" s="9" t="str">
        <f>IF($B17="","",IFERROR(VLOOKUP($B17,'Типы элементов'!$A$2:$J$15,6,FALSE),""))</f>
        <v/>
      </c>
      <c r="H17" s="9" t="str">
        <f>IF($B17="","",IFERROR(VLOOKUP($B17,'Типы элементов'!$A$2:$J$15,7,FALSE),""))</f>
        <v/>
      </c>
      <c r="I17" s="9" t="str">
        <f>IF($B17="","",IFERROR(VLOOKUP($B17,'Типы элементов'!$A$2:$J$15,8,FALSE),""))</f>
        <v/>
      </c>
      <c r="J17" s="9" t="str">
        <f>IF($B17="","",IFERROR(VLOOKUP($B17,'Типы элементов'!$A$2:$J$15,9,FALSE),""))</f>
        <v/>
      </c>
      <c r="K17" s="10" t="str">
        <f>IF($B17="","",IFERROR(VLOOKUP($B17,'Типы элементов'!$A$2:$J$15,10,FALSE),""))</f>
        <v/>
      </c>
      <c r="L17" s="6" t="str">
        <f>IF($B17="","",IFERROR(INDEX('Типы элементов'!$L:$L,MATCH($B17,'Типы элементов'!$B:$B,0)),""))</f>
        <v/>
      </c>
      <c r="M17" s="6" t="str">
        <f>IF($B17="","",IFERROR(INDEX('Типы элементов'!$M:$M,MATCH($B17,'Типы элементов'!$B:$B,0)),""))</f>
        <v/>
      </c>
      <c r="N17" s="6" t="str">
        <f>IF($B17="","",IFERROR(INDEX('Типы элементов'!$N:$N,MATCH($B17,'Типы элементов'!$B:$B,0)),""))</f>
        <v/>
      </c>
      <c r="O17" s="6" t="str">
        <f>IF($B17="","",IFERROR(INDEX('Типы элементов'!$O:$O,MATCH($B17,'Типы элементов'!$B:$B,0)),""))</f>
        <v/>
      </c>
      <c r="P17" s="6" t="str">
        <f>IF($B17="","",IFERROR(INDEX('Типы элементов'!$P:$P,MATCH($B17,'Типы элементов'!$B:$B,0)),""))</f>
        <v/>
      </c>
    </row>
    <row r="18" spans="1:16">
      <c r="A18" s="6">
        <v>17</v>
      </c>
      <c r="B18" s="6"/>
      <c r="C18" s="9" t="str">
        <f>IF($B18="","",IFERROR(VLOOKUP($B18,'Типы элементов'!$A$2:$J$15,2,FALSE),""))</f>
        <v/>
      </c>
      <c r="D18" s="9" t="str">
        <f>IF($B18="","",IFERROR(VLOOKUP($B18,'Типы элементов'!$A$2:$J$15,3,FALSE),""))</f>
        <v/>
      </c>
      <c r="E18" s="9" t="str">
        <f>IF($B18="","",IFERROR(VLOOKUP($B18,'Типы элементов'!$A$2:$J$15,4,FALSE),""))</f>
        <v/>
      </c>
      <c r="F18" s="9" t="str">
        <f>IF($B18="","",IFERROR(VLOOKUP($B18,'Типы элементов'!$A$2:$J$15,5,FALSE),""))</f>
        <v/>
      </c>
      <c r="G18" s="9" t="str">
        <f>IF($B18="","",IFERROR(VLOOKUP($B18,'Типы элементов'!$A$2:$J$15,6,FALSE),""))</f>
        <v/>
      </c>
      <c r="H18" s="9" t="str">
        <f>IF($B18="","",IFERROR(VLOOKUP($B18,'Типы элементов'!$A$2:$J$15,7,FALSE),""))</f>
        <v/>
      </c>
      <c r="I18" s="9" t="str">
        <f>IF($B18="","",IFERROR(VLOOKUP($B18,'Типы элементов'!$A$2:$J$15,8,FALSE),""))</f>
        <v/>
      </c>
      <c r="J18" s="9" t="str">
        <f>IF($B18="","",IFERROR(VLOOKUP($B18,'Типы элементов'!$A$2:$J$15,9,FALSE),""))</f>
        <v/>
      </c>
      <c r="K18" s="10" t="str">
        <f>IF($B18="","",IFERROR(VLOOKUP($B18,'Типы элементов'!$A$2:$J$15,10,FALSE),""))</f>
        <v/>
      </c>
      <c r="L18" s="6" t="str">
        <f>IF($B18="","",IFERROR(INDEX('Типы элементов'!$L:$L,MATCH($B18,'Типы элементов'!$B:$B,0)),""))</f>
        <v/>
      </c>
      <c r="M18" s="6" t="str">
        <f>IF($B18="","",IFERROR(INDEX('Типы элементов'!$M:$M,MATCH($B18,'Типы элементов'!$B:$B,0)),""))</f>
        <v/>
      </c>
      <c r="N18" s="6" t="str">
        <f>IF($B18="","",IFERROR(INDEX('Типы элементов'!$N:$N,MATCH($B18,'Типы элементов'!$B:$B,0)),""))</f>
        <v/>
      </c>
      <c r="O18" s="6" t="str">
        <f>IF($B18="","",IFERROR(INDEX('Типы элементов'!$O:$O,MATCH($B18,'Типы элементов'!$B:$B,0)),""))</f>
        <v/>
      </c>
      <c r="P18" s="6" t="str">
        <f>IF($B18="","",IFERROR(INDEX('Типы элементов'!$P:$P,MATCH($B18,'Типы элементов'!$B:$B,0)),""))</f>
        <v/>
      </c>
    </row>
    <row r="19" spans="1:16">
      <c r="A19" s="6">
        <v>18</v>
      </c>
      <c r="B19" s="6"/>
      <c r="C19" s="9" t="str">
        <f>IF($B19="","",IFERROR(VLOOKUP($B19,'Типы элементов'!$A$2:$J$15,2,FALSE),""))</f>
        <v/>
      </c>
      <c r="D19" s="9" t="str">
        <f>IF($B19="","",IFERROR(VLOOKUP($B19,'Типы элементов'!$A$2:$J$15,3,FALSE),""))</f>
        <v/>
      </c>
      <c r="E19" s="9" t="str">
        <f>IF($B19="","",IFERROR(VLOOKUP($B19,'Типы элементов'!$A$2:$J$15,4,FALSE),""))</f>
        <v/>
      </c>
      <c r="F19" s="9" t="str">
        <f>IF($B19="","",IFERROR(VLOOKUP($B19,'Типы элементов'!$A$2:$J$15,5,FALSE),""))</f>
        <v/>
      </c>
      <c r="G19" s="9" t="str">
        <f>IF($B19="","",IFERROR(VLOOKUP($B19,'Типы элементов'!$A$2:$J$15,6,FALSE),""))</f>
        <v/>
      </c>
      <c r="H19" s="9" t="str">
        <f>IF($B19="","",IFERROR(VLOOKUP($B19,'Типы элементов'!$A$2:$J$15,7,FALSE),""))</f>
        <v/>
      </c>
      <c r="I19" s="9" t="str">
        <f>IF($B19="","",IFERROR(VLOOKUP($B19,'Типы элементов'!$A$2:$J$15,8,FALSE),""))</f>
        <v/>
      </c>
      <c r="J19" s="9" t="str">
        <f>IF($B19="","",IFERROR(VLOOKUP($B19,'Типы элементов'!$A$2:$J$15,9,FALSE),""))</f>
        <v/>
      </c>
      <c r="K19" s="10" t="str">
        <f>IF($B19="","",IFERROR(VLOOKUP($B19,'Типы элементов'!$A$2:$J$15,10,FALSE),""))</f>
        <v/>
      </c>
      <c r="L19" s="6" t="str">
        <f>IF($B19="","",IFERROR(INDEX('Типы элементов'!$L:$L,MATCH($B19,'Типы элементов'!$B:$B,0)),""))</f>
        <v/>
      </c>
      <c r="M19" s="6" t="str">
        <f>IF($B19="","",IFERROR(INDEX('Типы элементов'!$M:$M,MATCH($B19,'Типы элементов'!$B:$B,0)),""))</f>
        <v/>
      </c>
      <c r="N19" s="6" t="str">
        <f>IF($B19="","",IFERROR(INDEX('Типы элементов'!$N:$N,MATCH($B19,'Типы элементов'!$B:$B,0)),""))</f>
        <v/>
      </c>
      <c r="O19" s="6" t="str">
        <f>IF($B19="","",IFERROR(INDEX('Типы элементов'!$O:$O,MATCH($B19,'Типы элементов'!$B:$B,0)),""))</f>
        <v/>
      </c>
      <c r="P19" s="6" t="str">
        <f>IF($B19="","",IFERROR(INDEX('Типы элементов'!$P:$P,MATCH($B19,'Типы элементов'!$B:$B,0)),""))</f>
        <v/>
      </c>
    </row>
    <row r="20" spans="1:16">
      <c r="A20" s="6">
        <v>19</v>
      </c>
      <c r="B20" s="6"/>
      <c r="C20" s="9" t="str">
        <f>IF($B20="","",IFERROR(VLOOKUP($B20,'Типы элементов'!$A$2:$J$15,2,FALSE),""))</f>
        <v/>
      </c>
      <c r="D20" s="9" t="str">
        <f>IF($B20="","",IFERROR(VLOOKUP($B20,'Типы элементов'!$A$2:$J$15,3,FALSE),""))</f>
        <v/>
      </c>
      <c r="E20" s="9" t="str">
        <f>IF($B20="","",IFERROR(VLOOKUP($B20,'Типы элементов'!$A$2:$J$15,4,FALSE),""))</f>
        <v/>
      </c>
      <c r="F20" s="9" t="str">
        <f>IF($B20="","",IFERROR(VLOOKUP($B20,'Типы элементов'!$A$2:$J$15,5,FALSE),""))</f>
        <v/>
      </c>
      <c r="G20" s="9" t="str">
        <f>IF($B20="","",IFERROR(VLOOKUP($B20,'Типы элементов'!$A$2:$J$15,6,FALSE),""))</f>
        <v/>
      </c>
      <c r="H20" s="9" t="str">
        <f>IF($B20="","",IFERROR(VLOOKUP($B20,'Типы элементов'!$A$2:$J$15,7,FALSE),""))</f>
        <v/>
      </c>
      <c r="I20" s="9" t="str">
        <f>IF($B20="","",IFERROR(VLOOKUP($B20,'Типы элементов'!$A$2:$J$15,8,FALSE),""))</f>
        <v/>
      </c>
      <c r="J20" s="9" t="str">
        <f>IF($B20="","",IFERROR(VLOOKUP($B20,'Типы элементов'!$A$2:$J$15,9,FALSE),""))</f>
        <v/>
      </c>
      <c r="K20" s="10" t="str">
        <f>IF($B20="","",IFERROR(VLOOKUP($B20,'Типы элементов'!$A$2:$J$15,10,FALSE),""))</f>
        <v/>
      </c>
      <c r="L20" s="6" t="str">
        <f>IF($B20="","",IFERROR(INDEX('Типы элементов'!$L:$L,MATCH($B20,'Типы элементов'!$B:$B,0)),""))</f>
        <v/>
      </c>
      <c r="M20" s="6" t="str">
        <f>IF($B20="","",IFERROR(INDEX('Типы элементов'!$M:$M,MATCH($B20,'Типы элементов'!$B:$B,0)),""))</f>
        <v/>
      </c>
      <c r="N20" s="6" t="str">
        <f>IF($B20="","",IFERROR(INDEX('Типы элементов'!$N:$N,MATCH($B20,'Типы элементов'!$B:$B,0)),""))</f>
        <v/>
      </c>
      <c r="O20" s="6" t="str">
        <f>IF($B20="","",IFERROR(INDEX('Типы элементов'!$O:$O,MATCH($B20,'Типы элементов'!$B:$B,0)),""))</f>
        <v/>
      </c>
      <c r="P20" s="6" t="str">
        <f>IF($B20="","",IFERROR(INDEX('Типы элементов'!$P:$P,MATCH($B20,'Типы элементов'!$B:$B,0)),""))</f>
        <v/>
      </c>
    </row>
    <row r="21" spans="1:16">
      <c r="A21" s="6">
        <v>20</v>
      </c>
      <c r="B21" s="6"/>
      <c r="C21" s="9" t="str">
        <f>IF($B21="","",IFERROR(VLOOKUP($B21,'Типы элементов'!$A$2:$J$15,2,FALSE),""))</f>
        <v/>
      </c>
      <c r="D21" s="9" t="str">
        <f>IF($B21="","",IFERROR(VLOOKUP($B21,'Типы элементов'!$A$2:$J$15,3,FALSE),""))</f>
        <v/>
      </c>
      <c r="E21" s="9" t="str">
        <f>IF($B21="","",IFERROR(VLOOKUP($B21,'Типы элементов'!$A$2:$J$15,4,FALSE),""))</f>
        <v/>
      </c>
      <c r="F21" s="9" t="str">
        <f>IF($B21="","",IFERROR(VLOOKUP($B21,'Типы элементов'!$A$2:$J$15,5,FALSE),""))</f>
        <v/>
      </c>
      <c r="G21" s="9" t="str">
        <f>IF($B21="","",IFERROR(VLOOKUP($B21,'Типы элементов'!$A$2:$J$15,6,FALSE),""))</f>
        <v/>
      </c>
      <c r="H21" s="9" t="str">
        <f>IF($B21="","",IFERROR(VLOOKUP($B21,'Типы элементов'!$A$2:$J$15,7,FALSE),""))</f>
        <v/>
      </c>
      <c r="I21" s="9" t="str">
        <f>IF($B21="","",IFERROR(VLOOKUP($B21,'Типы элементов'!$A$2:$J$15,8,FALSE),""))</f>
        <v/>
      </c>
      <c r="J21" s="9" t="str">
        <f>IF($B21="","",IFERROR(VLOOKUP($B21,'Типы элементов'!$A$2:$J$15,9,FALSE),""))</f>
        <v/>
      </c>
      <c r="K21" s="10" t="str">
        <f>IF($B21="","",IFERROR(VLOOKUP($B21,'Типы элементов'!$A$2:$J$15,10,FALSE),""))</f>
        <v/>
      </c>
      <c r="L21" s="6" t="str">
        <f>IF($B21="","",IFERROR(INDEX('Типы элементов'!$L:$L,MATCH($B21,'Типы элементов'!$B:$B,0)),""))</f>
        <v/>
      </c>
      <c r="M21" s="6" t="str">
        <f>IF($B21="","",IFERROR(INDEX('Типы элементов'!$M:$M,MATCH($B21,'Типы элементов'!$B:$B,0)),""))</f>
        <v/>
      </c>
      <c r="N21" s="6" t="str">
        <f>IF($B21="","",IFERROR(INDEX('Типы элементов'!$N:$N,MATCH($B21,'Типы элементов'!$B:$B,0)),""))</f>
        <v/>
      </c>
      <c r="O21" s="6" t="str">
        <f>IF($B21="","",IFERROR(INDEX('Типы элементов'!$O:$O,MATCH($B21,'Типы элементов'!$B:$B,0)),""))</f>
        <v/>
      </c>
      <c r="P21" s="6" t="str">
        <f>IF($B21="","",IFERROR(INDEX('Типы элементов'!$P:$P,MATCH($B21,'Типы элементов'!$B:$B,0)),""))</f>
        <v/>
      </c>
    </row>
    <row r="22" spans="1:16">
      <c r="A22" s="6">
        <v>21</v>
      </c>
      <c r="B22" s="6"/>
      <c r="C22" s="9" t="str">
        <f>IF($B22="","",IFERROR(VLOOKUP($B22,'Типы элементов'!$A$2:$J$15,2,FALSE),""))</f>
        <v/>
      </c>
      <c r="D22" s="9" t="str">
        <f>IF($B22="","",IFERROR(VLOOKUP($B22,'Типы элементов'!$A$2:$J$15,3,FALSE),""))</f>
        <v/>
      </c>
      <c r="E22" s="9" t="str">
        <f>IF($B22="","",IFERROR(VLOOKUP($B22,'Типы элементов'!$A$2:$J$15,4,FALSE),""))</f>
        <v/>
      </c>
      <c r="F22" s="9" t="str">
        <f>IF($B22="","",IFERROR(VLOOKUP($B22,'Типы элементов'!$A$2:$J$15,5,FALSE),""))</f>
        <v/>
      </c>
      <c r="G22" s="9" t="str">
        <f>IF($B22="","",IFERROR(VLOOKUP($B22,'Типы элементов'!$A$2:$J$15,6,FALSE),""))</f>
        <v/>
      </c>
      <c r="H22" s="9" t="str">
        <f>IF($B22="","",IFERROR(VLOOKUP($B22,'Типы элементов'!$A$2:$J$15,7,FALSE),""))</f>
        <v/>
      </c>
      <c r="I22" s="9" t="str">
        <f>IF($B22="","",IFERROR(VLOOKUP($B22,'Типы элементов'!$A$2:$J$15,8,FALSE),""))</f>
        <v/>
      </c>
      <c r="J22" s="9" t="str">
        <f>IF($B22="","",IFERROR(VLOOKUP($B22,'Типы элементов'!$A$2:$J$15,9,FALSE),""))</f>
        <v/>
      </c>
      <c r="K22" s="10" t="str">
        <f>IF($B22="","",IFERROR(VLOOKUP($B22,'Типы элементов'!$A$2:$J$15,10,FALSE),""))</f>
        <v/>
      </c>
      <c r="L22" s="6" t="str">
        <f>IF($B22="","",IFERROR(INDEX('Типы элементов'!$L:$L,MATCH($B22,'Типы элементов'!$B:$B,0)),""))</f>
        <v/>
      </c>
      <c r="M22" s="6" t="str">
        <f>IF($B22="","",IFERROR(INDEX('Типы элементов'!$M:$M,MATCH($B22,'Типы элементов'!$B:$B,0)),""))</f>
        <v/>
      </c>
      <c r="N22" s="6" t="str">
        <f>IF($B22="","",IFERROR(INDEX('Типы элементов'!$N:$N,MATCH($B22,'Типы элементов'!$B:$B,0)),""))</f>
        <v/>
      </c>
      <c r="O22" s="6" t="str">
        <f>IF($B22="","",IFERROR(INDEX('Типы элементов'!$O:$O,MATCH($B22,'Типы элементов'!$B:$B,0)),""))</f>
        <v/>
      </c>
      <c r="P22" s="6" t="str">
        <f>IF($B22="","",IFERROR(INDEX('Типы элементов'!$P:$P,MATCH($B22,'Типы элементов'!$B:$B,0)),""))</f>
        <v/>
      </c>
    </row>
    <row r="23" spans="1:16">
      <c r="A23" s="6">
        <v>22</v>
      </c>
      <c r="B23" s="6"/>
      <c r="C23" s="9" t="str">
        <f>IF($B23="","",IFERROR(VLOOKUP($B23,'Типы элементов'!$A$2:$J$15,2,FALSE),""))</f>
        <v/>
      </c>
      <c r="D23" s="9" t="str">
        <f>IF($B23="","",IFERROR(VLOOKUP($B23,'Типы элементов'!$A$2:$J$15,3,FALSE),""))</f>
        <v/>
      </c>
      <c r="E23" s="9" t="str">
        <f>IF($B23="","",IFERROR(VLOOKUP($B23,'Типы элементов'!$A$2:$J$15,4,FALSE),""))</f>
        <v/>
      </c>
      <c r="F23" s="9" t="str">
        <f>IF($B23="","",IFERROR(VLOOKUP($B23,'Типы элементов'!$A$2:$J$15,5,FALSE),""))</f>
        <v/>
      </c>
      <c r="G23" s="9" t="str">
        <f>IF($B23="","",IFERROR(VLOOKUP($B23,'Типы элементов'!$A$2:$J$15,6,FALSE),""))</f>
        <v/>
      </c>
      <c r="H23" s="9" t="str">
        <f>IF($B23="","",IFERROR(VLOOKUP($B23,'Типы элементов'!$A$2:$J$15,7,FALSE),""))</f>
        <v/>
      </c>
      <c r="I23" s="9" t="str">
        <f>IF($B23="","",IFERROR(VLOOKUP($B23,'Типы элементов'!$A$2:$J$15,8,FALSE),""))</f>
        <v/>
      </c>
      <c r="J23" s="9" t="str">
        <f>IF($B23="","",IFERROR(VLOOKUP($B23,'Типы элементов'!$A$2:$J$15,9,FALSE),""))</f>
        <v/>
      </c>
      <c r="K23" s="10" t="str">
        <f>IF($B23="","",IFERROR(VLOOKUP($B23,'Типы элементов'!$A$2:$J$15,10,FALSE),""))</f>
        <v/>
      </c>
      <c r="L23" s="6" t="str">
        <f>IF($B23="","",IFERROR(INDEX('Типы элементов'!$L:$L,MATCH($B23,'Типы элементов'!$B:$B,0)),""))</f>
        <v/>
      </c>
      <c r="M23" s="6" t="str">
        <f>IF($B23="","",IFERROR(INDEX('Типы элементов'!$M:$M,MATCH($B23,'Типы элементов'!$B:$B,0)),""))</f>
        <v/>
      </c>
      <c r="N23" s="6" t="str">
        <f>IF($B23="","",IFERROR(INDEX('Типы элементов'!$N:$N,MATCH($B23,'Типы элементов'!$B:$B,0)),""))</f>
        <v/>
      </c>
      <c r="O23" s="6" t="str">
        <f>IF($B23="","",IFERROR(INDEX('Типы элементов'!$O:$O,MATCH($B23,'Типы элементов'!$B:$B,0)),""))</f>
        <v/>
      </c>
      <c r="P23" s="6" t="str">
        <f>IF($B23="","",IFERROR(INDEX('Типы элементов'!$P:$P,MATCH($B23,'Типы элементов'!$B:$B,0)),""))</f>
        <v/>
      </c>
    </row>
    <row r="24" spans="1:16">
      <c r="A24" s="6">
        <v>23</v>
      </c>
      <c r="B24" s="6"/>
      <c r="C24" s="9" t="str">
        <f>IF($B24="","",IFERROR(VLOOKUP($B24,'Типы элементов'!$A$2:$J$15,2,FALSE),""))</f>
        <v/>
      </c>
      <c r="D24" s="9" t="str">
        <f>IF($B24="","",IFERROR(VLOOKUP($B24,'Типы элементов'!$A$2:$J$15,3,FALSE),""))</f>
        <v/>
      </c>
      <c r="E24" s="9" t="str">
        <f>IF($B24="","",IFERROR(VLOOKUP($B24,'Типы элементов'!$A$2:$J$15,4,FALSE),""))</f>
        <v/>
      </c>
      <c r="F24" s="9" t="str">
        <f>IF($B24="","",IFERROR(VLOOKUP($B24,'Типы элементов'!$A$2:$J$15,5,FALSE),""))</f>
        <v/>
      </c>
      <c r="G24" s="9" t="str">
        <f>IF($B24="","",IFERROR(VLOOKUP($B24,'Типы элементов'!$A$2:$J$15,6,FALSE),""))</f>
        <v/>
      </c>
      <c r="H24" s="9" t="str">
        <f>IF($B24="","",IFERROR(VLOOKUP($B24,'Типы элементов'!$A$2:$J$15,7,FALSE),""))</f>
        <v/>
      </c>
      <c r="I24" s="9" t="str">
        <f>IF($B24="","",IFERROR(VLOOKUP($B24,'Типы элементов'!$A$2:$J$15,8,FALSE),""))</f>
        <v/>
      </c>
      <c r="J24" s="9" t="str">
        <f>IF($B24="","",IFERROR(VLOOKUP($B24,'Типы элементов'!$A$2:$J$15,9,FALSE),""))</f>
        <v/>
      </c>
      <c r="K24" s="10" t="str">
        <f>IF($B24="","",IFERROR(VLOOKUP($B24,'Типы элементов'!$A$2:$J$15,10,FALSE),""))</f>
        <v/>
      </c>
      <c r="L24" s="6" t="str">
        <f>IF($B24="","",IFERROR(INDEX('Типы элементов'!$L:$L,MATCH($B24,'Типы элементов'!$B:$B,0)),""))</f>
        <v/>
      </c>
      <c r="M24" s="6" t="str">
        <f>IF($B24="","",IFERROR(INDEX('Типы элементов'!$M:$M,MATCH($B24,'Типы элементов'!$B:$B,0)),""))</f>
        <v/>
      </c>
      <c r="N24" s="6" t="str">
        <f>IF($B24="","",IFERROR(INDEX('Типы элементов'!$N:$N,MATCH($B24,'Типы элементов'!$B:$B,0)),""))</f>
        <v/>
      </c>
      <c r="O24" s="6" t="str">
        <f>IF($B24="","",IFERROR(INDEX('Типы элементов'!$O:$O,MATCH($B24,'Типы элементов'!$B:$B,0)),""))</f>
        <v/>
      </c>
      <c r="P24" s="6" t="str">
        <f>IF($B24="","",IFERROR(INDEX('Типы элементов'!$P:$P,MATCH($B24,'Типы элементов'!$B:$B,0)),""))</f>
        <v/>
      </c>
    </row>
    <row r="25" spans="1:16">
      <c r="A25" s="6">
        <v>24</v>
      </c>
      <c r="B25" s="6"/>
      <c r="C25" s="9" t="str">
        <f>IF($B25="","",IFERROR(VLOOKUP($B25,'Типы элементов'!$A$2:$J$15,2,FALSE),""))</f>
        <v/>
      </c>
      <c r="D25" s="9" t="str">
        <f>IF($B25="","",IFERROR(VLOOKUP($B25,'Типы элементов'!$A$2:$J$15,3,FALSE),""))</f>
        <v/>
      </c>
      <c r="E25" s="9" t="str">
        <f>IF($B25="","",IFERROR(VLOOKUP($B25,'Типы элементов'!$A$2:$J$15,4,FALSE),""))</f>
        <v/>
      </c>
      <c r="F25" s="9" t="str">
        <f>IF($B25="","",IFERROR(VLOOKUP($B25,'Типы элементов'!$A$2:$J$15,5,FALSE),""))</f>
        <v/>
      </c>
      <c r="G25" s="9" t="str">
        <f>IF($B25="","",IFERROR(VLOOKUP($B25,'Типы элементов'!$A$2:$J$15,6,FALSE),""))</f>
        <v/>
      </c>
      <c r="H25" s="9" t="str">
        <f>IF($B25="","",IFERROR(VLOOKUP($B25,'Типы элементов'!$A$2:$J$15,7,FALSE),""))</f>
        <v/>
      </c>
      <c r="I25" s="9" t="str">
        <f>IF($B25="","",IFERROR(VLOOKUP($B25,'Типы элементов'!$A$2:$J$15,8,FALSE),""))</f>
        <v/>
      </c>
      <c r="J25" s="9" t="str">
        <f>IF($B25="","",IFERROR(VLOOKUP($B25,'Типы элементов'!$A$2:$J$15,9,FALSE),""))</f>
        <v/>
      </c>
      <c r="K25" s="10" t="str">
        <f>IF($B25="","",IFERROR(VLOOKUP($B25,'Типы элементов'!$A$2:$J$15,10,FALSE),""))</f>
        <v/>
      </c>
      <c r="L25" s="6" t="str">
        <f>IF($B25="","",IFERROR(INDEX('Типы элементов'!$L:$L,MATCH($B25,'Типы элементов'!$B:$B,0)),""))</f>
        <v/>
      </c>
      <c r="M25" s="6" t="str">
        <f>IF($B25="","",IFERROR(INDEX('Типы элементов'!$M:$M,MATCH($B25,'Типы элементов'!$B:$B,0)),""))</f>
        <v/>
      </c>
      <c r="N25" s="6" t="str">
        <f>IF($B25="","",IFERROR(INDEX('Типы элементов'!$N:$N,MATCH($B25,'Типы элементов'!$B:$B,0)),""))</f>
        <v/>
      </c>
      <c r="O25" s="6" t="str">
        <f>IF($B25="","",IFERROR(INDEX('Типы элементов'!$O:$O,MATCH($B25,'Типы элементов'!$B:$B,0)),""))</f>
        <v/>
      </c>
      <c r="P25" s="6" t="str">
        <f>IF($B25="","",IFERROR(INDEX('Типы элементов'!$P:$P,MATCH($B25,'Типы элементов'!$B:$B,0)),""))</f>
        <v/>
      </c>
    </row>
    <row r="26" spans="1:16">
      <c r="A26" s="6">
        <v>25</v>
      </c>
      <c r="B26" s="6"/>
      <c r="C26" s="9" t="str">
        <f>IF($B26="","",IFERROR(VLOOKUP($B26,'Типы элементов'!$A$2:$J$15,2,FALSE),""))</f>
        <v/>
      </c>
      <c r="D26" s="9" t="str">
        <f>IF($B26="","",IFERROR(VLOOKUP($B26,'Типы элементов'!$A$2:$J$15,3,FALSE),""))</f>
        <v/>
      </c>
      <c r="E26" s="9" t="str">
        <f>IF($B26="","",IFERROR(VLOOKUP($B26,'Типы элементов'!$A$2:$J$15,4,FALSE),""))</f>
        <v/>
      </c>
      <c r="F26" s="9" t="str">
        <f>IF($B26="","",IFERROR(VLOOKUP($B26,'Типы элементов'!$A$2:$J$15,5,FALSE),""))</f>
        <v/>
      </c>
      <c r="G26" s="9" t="str">
        <f>IF($B26="","",IFERROR(VLOOKUP($B26,'Типы элементов'!$A$2:$J$15,6,FALSE),""))</f>
        <v/>
      </c>
      <c r="H26" s="9" t="str">
        <f>IF($B26="","",IFERROR(VLOOKUP($B26,'Типы элементов'!$A$2:$J$15,7,FALSE),""))</f>
        <v/>
      </c>
      <c r="I26" s="9" t="str">
        <f>IF($B26="","",IFERROR(VLOOKUP($B26,'Типы элементов'!$A$2:$J$15,8,FALSE),""))</f>
        <v/>
      </c>
      <c r="J26" s="9" t="str">
        <f>IF($B26="","",IFERROR(VLOOKUP($B26,'Типы элементов'!$A$2:$J$15,9,FALSE),""))</f>
        <v/>
      </c>
      <c r="K26" s="10" t="str">
        <f>IF($B26="","",IFERROR(VLOOKUP($B26,'Типы элементов'!$A$2:$J$15,10,FALSE),""))</f>
        <v/>
      </c>
      <c r="L26" s="6" t="str">
        <f>IF($B26="","",IFERROR(INDEX('Типы элементов'!$L:$L,MATCH($B26,'Типы элементов'!$B:$B,0)),""))</f>
        <v/>
      </c>
      <c r="M26" s="6" t="str">
        <f>IF($B26="","",IFERROR(INDEX('Типы элементов'!$M:$M,MATCH($B26,'Типы элементов'!$B:$B,0)),""))</f>
        <v/>
      </c>
      <c r="N26" s="6" t="str">
        <f>IF($B26="","",IFERROR(INDEX('Типы элементов'!$N:$N,MATCH($B26,'Типы элементов'!$B:$B,0)),""))</f>
        <v/>
      </c>
      <c r="O26" s="6" t="str">
        <f>IF($B26="","",IFERROR(INDEX('Типы элементов'!$O:$O,MATCH($B26,'Типы элементов'!$B:$B,0)),""))</f>
        <v/>
      </c>
      <c r="P26" s="6" t="str">
        <f>IF($B26="","",IFERROR(INDEX('Типы элементов'!$P:$P,MATCH($B26,'Типы элементов'!$B:$B,0)),""))</f>
        <v/>
      </c>
    </row>
    <row r="27" spans="1:16">
      <c r="A27" s="6">
        <v>26</v>
      </c>
      <c r="B27" s="6"/>
      <c r="C27" s="9" t="str">
        <f>IF($B27="","",IFERROR(VLOOKUP($B27,'Типы элементов'!$A$2:$J$15,2,FALSE),""))</f>
        <v/>
      </c>
      <c r="D27" s="9" t="str">
        <f>IF($B27="","",IFERROR(VLOOKUP($B27,'Типы элементов'!$A$2:$J$15,3,FALSE),""))</f>
        <v/>
      </c>
      <c r="E27" s="9" t="str">
        <f>IF($B27="","",IFERROR(VLOOKUP($B27,'Типы элементов'!$A$2:$J$15,4,FALSE),""))</f>
        <v/>
      </c>
      <c r="F27" s="9" t="str">
        <f>IF($B27="","",IFERROR(VLOOKUP($B27,'Типы элементов'!$A$2:$J$15,5,FALSE),""))</f>
        <v/>
      </c>
      <c r="G27" s="9" t="str">
        <f>IF($B27="","",IFERROR(VLOOKUP($B27,'Типы элементов'!$A$2:$J$15,6,FALSE),""))</f>
        <v/>
      </c>
      <c r="H27" s="9" t="str">
        <f>IF($B27="","",IFERROR(VLOOKUP($B27,'Типы элементов'!$A$2:$J$15,7,FALSE),""))</f>
        <v/>
      </c>
      <c r="I27" s="9" t="str">
        <f>IF($B27="","",IFERROR(VLOOKUP($B27,'Типы элементов'!$A$2:$J$15,8,FALSE),""))</f>
        <v/>
      </c>
      <c r="J27" s="9" t="str">
        <f>IF($B27="","",IFERROR(VLOOKUP($B27,'Типы элементов'!$A$2:$J$15,9,FALSE),""))</f>
        <v/>
      </c>
      <c r="K27" s="10" t="str">
        <f>IF($B27="","",IFERROR(VLOOKUP($B27,'Типы элементов'!$A$2:$J$15,10,FALSE),""))</f>
        <v/>
      </c>
      <c r="L27" s="6" t="str">
        <f>IF($B27="","",IFERROR(INDEX('Типы элементов'!$L:$L,MATCH($B27,'Типы элементов'!$B:$B,0)),""))</f>
        <v/>
      </c>
      <c r="M27" s="6" t="str">
        <f>IF($B27="","",IFERROR(INDEX('Типы элементов'!$M:$M,MATCH($B27,'Типы элементов'!$B:$B,0)),""))</f>
        <v/>
      </c>
      <c r="N27" s="6" t="str">
        <f>IF($B27="","",IFERROR(INDEX('Типы элементов'!$N:$N,MATCH($B27,'Типы элементов'!$B:$B,0)),""))</f>
        <v/>
      </c>
      <c r="O27" s="6" t="str">
        <f>IF($B27="","",IFERROR(INDEX('Типы элементов'!$O:$O,MATCH($B27,'Типы элементов'!$B:$B,0)),""))</f>
        <v/>
      </c>
      <c r="P27" s="6" t="str">
        <f>IF($B27="","",IFERROR(INDEX('Типы элементов'!$P:$P,MATCH($B27,'Типы элементов'!$B:$B,0)),""))</f>
        <v/>
      </c>
    </row>
    <row r="28" spans="1:16">
      <c r="A28" s="6">
        <v>27</v>
      </c>
      <c r="B28" s="6"/>
      <c r="C28" s="9" t="str">
        <f>IF($B28="","",IFERROR(VLOOKUP($B28,'Типы элементов'!$A$2:$J$15,2,FALSE),""))</f>
        <v/>
      </c>
      <c r="D28" s="9" t="str">
        <f>IF($B28="","",IFERROR(VLOOKUP($B28,'Типы элементов'!$A$2:$J$15,3,FALSE),""))</f>
        <v/>
      </c>
      <c r="E28" s="9" t="str">
        <f>IF($B28="","",IFERROR(VLOOKUP($B28,'Типы элементов'!$A$2:$J$15,4,FALSE),""))</f>
        <v/>
      </c>
      <c r="F28" s="9" t="str">
        <f>IF($B28="","",IFERROR(VLOOKUP($B28,'Типы элементов'!$A$2:$J$15,5,FALSE),""))</f>
        <v/>
      </c>
      <c r="G28" s="9" t="str">
        <f>IF($B28="","",IFERROR(VLOOKUP($B28,'Типы элементов'!$A$2:$J$15,6,FALSE),""))</f>
        <v/>
      </c>
      <c r="H28" s="9" t="str">
        <f>IF($B28="","",IFERROR(VLOOKUP($B28,'Типы элементов'!$A$2:$J$15,7,FALSE),""))</f>
        <v/>
      </c>
      <c r="I28" s="9" t="str">
        <f>IF($B28="","",IFERROR(VLOOKUP($B28,'Типы элементов'!$A$2:$J$15,8,FALSE),""))</f>
        <v/>
      </c>
      <c r="J28" s="9" t="str">
        <f>IF($B28="","",IFERROR(VLOOKUP($B28,'Типы элементов'!$A$2:$J$15,9,FALSE),""))</f>
        <v/>
      </c>
      <c r="K28" s="10" t="str">
        <f>IF($B28="","",IFERROR(VLOOKUP($B28,'Типы элементов'!$A$2:$J$15,10,FALSE),""))</f>
        <v/>
      </c>
      <c r="L28" s="6" t="str">
        <f>IF($B28="","",IFERROR(INDEX('Типы элементов'!$L:$L,MATCH($B28,'Типы элементов'!$B:$B,0)),""))</f>
        <v/>
      </c>
      <c r="M28" s="6" t="str">
        <f>IF($B28="","",IFERROR(INDEX('Типы элементов'!$M:$M,MATCH($B28,'Типы элементов'!$B:$B,0)),""))</f>
        <v/>
      </c>
      <c r="N28" s="6" t="str">
        <f>IF($B28="","",IFERROR(INDEX('Типы элементов'!$N:$N,MATCH($B28,'Типы элементов'!$B:$B,0)),""))</f>
        <v/>
      </c>
      <c r="O28" s="6" t="str">
        <f>IF($B28="","",IFERROR(INDEX('Типы элементов'!$O:$O,MATCH($B28,'Типы элементов'!$B:$B,0)),""))</f>
        <v/>
      </c>
      <c r="P28" s="6" t="str">
        <f>IF($B28="","",IFERROR(INDEX('Типы элементов'!$P:$P,MATCH($B28,'Типы элементов'!$B:$B,0)),""))</f>
        <v/>
      </c>
    </row>
    <row r="29" spans="1:16">
      <c r="A29" s="6">
        <v>28</v>
      </c>
      <c r="B29" s="6"/>
      <c r="C29" s="9" t="str">
        <f>IF($B29="","",IFERROR(VLOOKUP($B29,'Типы элементов'!$A$2:$J$15,2,FALSE),""))</f>
        <v/>
      </c>
      <c r="D29" s="9" t="str">
        <f>IF($B29="","",IFERROR(VLOOKUP($B29,'Типы элементов'!$A$2:$J$15,3,FALSE),""))</f>
        <v/>
      </c>
      <c r="E29" s="9" t="str">
        <f>IF($B29="","",IFERROR(VLOOKUP($B29,'Типы элементов'!$A$2:$J$15,4,FALSE),""))</f>
        <v/>
      </c>
      <c r="F29" s="9" t="str">
        <f>IF($B29="","",IFERROR(VLOOKUP($B29,'Типы элементов'!$A$2:$J$15,5,FALSE),""))</f>
        <v/>
      </c>
      <c r="G29" s="9" t="str">
        <f>IF($B29="","",IFERROR(VLOOKUP($B29,'Типы элементов'!$A$2:$J$15,6,FALSE),""))</f>
        <v/>
      </c>
      <c r="H29" s="9" t="str">
        <f>IF($B29="","",IFERROR(VLOOKUP($B29,'Типы элементов'!$A$2:$J$15,7,FALSE),""))</f>
        <v/>
      </c>
      <c r="I29" s="9" t="str">
        <f>IF($B29="","",IFERROR(VLOOKUP($B29,'Типы элементов'!$A$2:$J$15,8,FALSE),""))</f>
        <v/>
      </c>
      <c r="J29" s="9" t="str">
        <f>IF($B29="","",IFERROR(VLOOKUP($B29,'Типы элементов'!$A$2:$J$15,9,FALSE),""))</f>
        <v/>
      </c>
      <c r="K29" s="10" t="str">
        <f>IF($B29="","",IFERROR(VLOOKUP($B29,'Типы элементов'!$A$2:$J$15,10,FALSE),""))</f>
        <v/>
      </c>
      <c r="L29" s="6" t="str">
        <f>IF($B29="","",IFERROR(INDEX('Типы элементов'!$L:$L,MATCH($B29,'Типы элементов'!$B:$B,0)),""))</f>
        <v/>
      </c>
      <c r="M29" s="6" t="str">
        <f>IF($B29="","",IFERROR(INDEX('Типы элементов'!$M:$M,MATCH($B29,'Типы элементов'!$B:$B,0)),""))</f>
        <v/>
      </c>
      <c r="N29" s="6" t="str">
        <f>IF($B29="","",IFERROR(INDEX('Типы элементов'!$N:$N,MATCH($B29,'Типы элементов'!$B:$B,0)),""))</f>
        <v/>
      </c>
      <c r="O29" s="6" t="str">
        <f>IF($B29="","",IFERROR(INDEX('Типы элементов'!$O:$O,MATCH($B29,'Типы элементов'!$B:$B,0)),""))</f>
        <v/>
      </c>
      <c r="P29" s="6" t="str">
        <f>IF($B29="","",IFERROR(INDEX('Типы элементов'!$P:$P,MATCH($B29,'Типы элементов'!$B:$B,0)),""))</f>
        <v/>
      </c>
    </row>
    <row r="30" spans="1:16">
      <c r="A30" s="6">
        <v>29</v>
      </c>
      <c r="B30" s="6"/>
      <c r="C30" s="9" t="str">
        <f>IF($B30="","",IFERROR(VLOOKUP($B30,'Типы элементов'!$A$2:$J$15,2,FALSE),""))</f>
        <v/>
      </c>
      <c r="D30" s="9" t="str">
        <f>IF($B30="","",IFERROR(VLOOKUP($B30,'Типы элементов'!$A$2:$J$15,3,FALSE),""))</f>
        <v/>
      </c>
      <c r="E30" s="9" t="str">
        <f>IF($B30="","",IFERROR(VLOOKUP($B30,'Типы элементов'!$A$2:$J$15,4,FALSE),""))</f>
        <v/>
      </c>
      <c r="F30" s="9" t="str">
        <f>IF($B30="","",IFERROR(VLOOKUP($B30,'Типы элементов'!$A$2:$J$15,5,FALSE),""))</f>
        <v/>
      </c>
      <c r="G30" s="9" t="str">
        <f>IF($B30="","",IFERROR(VLOOKUP($B30,'Типы элементов'!$A$2:$J$15,6,FALSE),""))</f>
        <v/>
      </c>
      <c r="H30" s="9" t="str">
        <f>IF($B30="","",IFERROR(VLOOKUP($B30,'Типы элементов'!$A$2:$J$15,7,FALSE),""))</f>
        <v/>
      </c>
      <c r="I30" s="9" t="str">
        <f>IF($B30="","",IFERROR(VLOOKUP($B30,'Типы элементов'!$A$2:$J$15,8,FALSE),""))</f>
        <v/>
      </c>
      <c r="J30" s="9" t="str">
        <f>IF($B30="","",IFERROR(VLOOKUP($B30,'Типы элементов'!$A$2:$J$15,9,FALSE),""))</f>
        <v/>
      </c>
      <c r="K30" s="10" t="str">
        <f>IF($B30="","",IFERROR(VLOOKUP($B30,'Типы элементов'!$A$2:$J$15,10,FALSE),""))</f>
        <v/>
      </c>
      <c r="L30" s="6" t="str">
        <f>IF($B30="","",IFERROR(INDEX('Типы элементов'!$L:$L,MATCH($B30,'Типы элементов'!$B:$B,0)),""))</f>
        <v/>
      </c>
      <c r="M30" s="6" t="str">
        <f>IF($B30="","",IFERROR(INDEX('Типы элементов'!$M:$M,MATCH($B30,'Типы элементов'!$B:$B,0)),""))</f>
        <v/>
      </c>
      <c r="N30" s="6" t="str">
        <f>IF($B30="","",IFERROR(INDEX('Типы элементов'!$N:$N,MATCH($B30,'Типы элементов'!$B:$B,0)),""))</f>
        <v/>
      </c>
      <c r="O30" s="6" t="str">
        <f>IF($B30="","",IFERROR(INDEX('Типы элементов'!$O:$O,MATCH($B30,'Типы элементов'!$B:$B,0)),""))</f>
        <v/>
      </c>
      <c r="P30" s="6" t="str">
        <f>IF($B30="","",IFERROR(INDEX('Типы элементов'!$P:$P,MATCH($B30,'Типы элементов'!$B:$B,0)),""))</f>
        <v/>
      </c>
    </row>
    <row r="31" spans="1:16">
      <c r="A31" s="6">
        <v>30</v>
      </c>
      <c r="B31" s="6"/>
      <c r="C31" s="9" t="str">
        <f>IF($B31="","",IFERROR(VLOOKUP($B31,'Типы элементов'!$A$2:$J$15,2,FALSE),""))</f>
        <v/>
      </c>
      <c r="D31" s="9" t="str">
        <f>IF($B31="","",IFERROR(VLOOKUP($B31,'Типы элементов'!$A$2:$J$15,3,FALSE),""))</f>
        <v/>
      </c>
      <c r="E31" s="9" t="str">
        <f>IF($B31="","",IFERROR(VLOOKUP($B31,'Типы элементов'!$A$2:$J$15,4,FALSE),""))</f>
        <v/>
      </c>
      <c r="F31" s="9" t="str">
        <f>IF($B31="","",IFERROR(VLOOKUP($B31,'Типы элементов'!$A$2:$J$15,5,FALSE),""))</f>
        <v/>
      </c>
      <c r="G31" s="9" t="str">
        <f>IF($B31="","",IFERROR(VLOOKUP($B31,'Типы элементов'!$A$2:$J$15,6,FALSE),""))</f>
        <v/>
      </c>
      <c r="H31" s="9" t="str">
        <f>IF($B31="","",IFERROR(VLOOKUP($B31,'Типы элементов'!$A$2:$J$15,7,FALSE),""))</f>
        <v/>
      </c>
      <c r="I31" s="9" t="str">
        <f>IF($B31="","",IFERROR(VLOOKUP($B31,'Типы элементов'!$A$2:$J$15,8,FALSE),""))</f>
        <v/>
      </c>
      <c r="J31" s="9" t="str">
        <f>IF($B31="","",IFERROR(VLOOKUP($B31,'Типы элементов'!$A$2:$J$15,9,FALSE),""))</f>
        <v/>
      </c>
      <c r="K31" s="10" t="str">
        <f>IF($B31="","",IFERROR(VLOOKUP($B31,'Типы элементов'!$A$2:$J$15,10,FALSE),""))</f>
        <v/>
      </c>
      <c r="L31" s="6" t="str">
        <f>IF($B31="","",IFERROR(INDEX('Типы элементов'!$L:$L,MATCH($B31,'Типы элементов'!$B:$B,0)),""))</f>
        <v/>
      </c>
      <c r="M31" s="6" t="str">
        <f>IF($B31="","",IFERROR(INDEX('Типы элементов'!$M:$M,MATCH($B31,'Типы элементов'!$B:$B,0)),""))</f>
        <v/>
      </c>
      <c r="N31" s="6" t="str">
        <f>IF($B31="","",IFERROR(INDEX('Типы элементов'!$N:$N,MATCH($B31,'Типы элементов'!$B:$B,0)),""))</f>
        <v/>
      </c>
      <c r="O31" s="6" t="str">
        <f>IF($B31="","",IFERROR(INDEX('Типы элементов'!$O:$O,MATCH($B31,'Типы элементов'!$B:$B,0)),""))</f>
        <v/>
      </c>
      <c r="P31" s="6" t="str">
        <f>IF($B31="","",IFERROR(INDEX('Типы элементов'!$P:$P,MATCH($B31,'Типы элементов'!$B:$B,0)),""))</f>
        <v/>
      </c>
    </row>
    <row r="32" spans="1:16">
      <c r="A32" s="6">
        <v>31</v>
      </c>
      <c r="B32" s="6"/>
      <c r="C32" s="9" t="str">
        <f>IF($B32="","",IFERROR(VLOOKUP($B32,'Типы элементов'!$A$2:$J$15,2,FALSE),""))</f>
        <v/>
      </c>
      <c r="D32" s="9" t="str">
        <f>IF($B32="","",IFERROR(VLOOKUP($B32,'Типы элементов'!$A$2:$J$15,3,FALSE),""))</f>
        <v/>
      </c>
      <c r="E32" s="9" t="str">
        <f>IF($B32="","",IFERROR(VLOOKUP($B32,'Типы элементов'!$A$2:$J$15,4,FALSE),""))</f>
        <v/>
      </c>
      <c r="F32" s="9" t="str">
        <f>IF($B32="","",IFERROR(VLOOKUP($B32,'Типы элементов'!$A$2:$J$15,5,FALSE),""))</f>
        <v/>
      </c>
      <c r="G32" s="9" t="str">
        <f>IF($B32="","",IFERROR(VLOOKUP($B32,'Типы элементов'!$A$2:$J$15,6,FALSE),""))</f>
        <v/>
      </c>
      <c r="H32" s="9" t="str">
        <f>IF($B32="","",IFERROR(VLOOKUP($B32,'Типы элементов'!$A$2:$J$15,7,FALSE),""))</f>
        <v/>
      </c>
      <c r="I32" s="9" t="str">
        <f>IF($B32="","",IFERROR(VLOOKUP($B32,'Типы элементов'!$A$2:$J$15,8,FALSE),""))</f>
        <v/>
      </c>
      <c r="J32" s="9" t="str">
        <f>IF($B32="","",IFERROR(VLOOKUP($B32,'Типы элементов'!$A$2:$J$15,9,FALSE),""))</f>
        <v/>
      </c>
      <c r="K32" s="10" t="str">
        <f>IF($B32="","",IFERROR(VLOOKUP($B32,'Типы элементов'!$A$2:$J$15,10,FALSE),""))</f>
        <v/>
      </c>
      <c r="L32" s="6" t="str">
        <f>IF($B32="","",IFERROR(INDEX('Типы элементов'!$L:$L,MATCH($B32,'Типы элементов'!$B:$B,0)),""))</f>
        <v/>
      </c>
      <c r="M32" s="6" t="str">
        <f>IF($B32="","",IFERROR(INDEX('Типы элементов'!$M:$M,MATCH($B32,'Типы элементов'!$B:$B,0)),""))</f>
        <v/>
      </c>
      <c r="N32" s="6" t="str">
        <f>IF($B32="","",IFERROR(INDEX('Типы элементов'!$N:$N,MATCH($B32,'Типы элементов'!$B:$B,0)),""))</f>
        <v/>
      </c>
      <c r="O32" s="6" t="str">
        <f>IF($B32="","",IFERROR(INDEX('Типы элементов'!$O:$O,MATCH($B32,'Типы элементов'!$B:$B,0)),""))</f>
        <v/>
      </c>
      <c r="P32" s="6" t="str">
        <f>IF($B32="","",IFERROR(INDEX('Типы элементов'!$P:$P,MATCH($B32,'Типы элементов'!$B:$B,0)),""))</f>
        <v/>
      </c>
    </row>
    <row r="33" spans="1:16">
      <c r="A33" s="6">
        <v>32</v>
      </c>
      <c r="B33" s="6"/>
      <c r="C33" s="9" t="str">
        <f>IF($B33="","",IFERROR(VLOOKUP($B33,'Типы элементов'!$A$2:$J$15,2,FALSE),""))</f>
        <v/>
      </c>
      <c r="D33" s="9" t="str">
        <f>IF($B33="","",IFERROR(VLOOKUP($B33,'Типы элементов'!$A$2:$J$15,3,FALSE),""))</f>
        <v/>
      </c>
      <c r="E33" s="9" t="str">
        <f>IF($B33="","",IFERROR(VLOOKUP($B33,'Типы элементов'!$A$2:$J$15,4,FALSE),""))</f>
        <v/>
      </c>
      <c r="F33" s="9" t="str">
        <f>IF($B33="","",IFERROR(VLOOKUP($B33,'Типы элементов'!$A$2:$J$15,5,FALSE),""))</f>
        <v/>
      </c>
      <c r="G33" s="9" t="str">
        <f>IF($B33="","",IFERROR(VLOOKUP($B33,'Типы элементов'!$A$2:$J$15,6,FALSE),""))</f>
        <v/>
      </c>
      <c r="H33" s="9" t="str">
        <f>IF($B33="","",IFERROR(VLOOKUP($B33,'Типы элементов'!$A$2:$J$15,7,FALSE),""))</f>
        <v/>
      </c>
      <c r="I33" s="9" t="str">
        <f>IF($B33="","",IFERROR(VLOOKUP($B33,'Типы элементов'!$A$2:$J$15,8,FALSE),""))</f>
        <v/>
      </c>
      <c r="J33" s="9" t="str">
        <f>IF($B33="","",IFERROR(VLOOKUP($B33,'Типы элементов'!$A$2:$J$15,9,FALSE),""))</f>
        <v/>
      </c>
      <c r="K33" s="10" t="str">
        <f>IF($B33="","",IFERROR(VLOOKUP($B33,'Типы элементов'!$A$2:$J$15,10,FALSE),""))</f>
        <v/>
      </c>
      <c r="L33" s="6" t="str">
        <f>IF($B33="","",IFERROR(INDEX('Типы элементов'!$L:$L,MATCH($B33,'Типы элементов'!$B:$B,0)),""))</f>
        <v/>
      </c>
      <c r="M33" s="6" t="str">
        <f>IF($B33="","",IFERROR(INDEX('Типы элементов'!$M:$M,MATCH($B33,'Типы элементов'!$B:$B,0)),""))</f>
        <v/>
      </c>
      <c r="N33" s="6" t="str">
        <f>IF($B33="","",IFERROR(INDEX('Типы элементов'!$N:$N,MATCH($B33,'Типы элементов'!$B:$B,0)),""))</f>
        <v/>
      </c>
      <c r="O33" s="6" t="str">
        <f>IF($B33="","",IFERROR(INDEX('Типы элементов'!$O:$O,MATCH($B33,'Типы элементов'!$B:$B,0)),""))</f>
        <v/>
      </c>
      <c r="P33" s="6" t="str">
        <f>IF($B33="","",IFERROR(INDEX('Типы элементов'!$P:$P,MATCH($B33,'Типы элементов'!$B:$B,0)),""))</f>
        <v/>
      </c>
    </row>
    <row r="34" spans="1:16">
      <c r="A34" s="6">
        <v>33</v>
      </c>
      <c r="B34" s="6"/>
      <c r="C34" s="9" t="str">
        <f>IF($B34="","",IFERROR(VLOOKUP($B34,'Типы элементов'!$A$2:$J$15,2,FALSE),""))</f>
        <v/>
      </c>
      <c r="D34" s="9" t="str">
        <f>IF($B34="","",IFERROR(VLOOKUP($B34,'Типы элементов'!$A$2:$J$15,3,FALSE),""))</f>
        <v/>
      </c>
      <c r="E34" s="9" t="str">
        <f>IF($B34="","",IFERROR(VLOOKUP($B34,'Типы элементов'!$A$2:$J$15,4,FALSE),""))</f>
        <v/>
      </c>
      <c r="F34" s="9" t="str">
        <f>IF($B34="","",IFERROR(VLOOKUP($B34,'Типы элементов'!$A$2:$J$15,5,FALSE),""))</f>
        <v/>
      </c>
      <c r="G34" s="9" t="str">
        <f>IF($B34="","",IFERROR(VLOOKUP($B34,'Типы элементов'!$A$2:$J$15,6,FALSE),""))</f>
        <v/>
      </c>
      <c r="H34" s="9" t="str">
        <f>IF($B34="","",IFERROR(VLOOKUP($B34,'Типы элементов'!$A$2:$J$15,7,FALSE),""))</f>
        <v/>
      </c>
      <c r="I34" s="9" t="str">
        <f>IF($B34="","",IFERROR(VLOOKUP($B34,'Типы элементов'!$A$2:$J$15,8,FALSE),""))</f>
        <v/>
      </c>
      <c r="J34" s="9" t="str">
        <f>IF($B34="","",IFERROR(VLOOKUP($B34,'Типы элементов'!$A$2:$J$15,9,FALSE),""))</f>
        <v/>
      </c>
      <c r="K34" s="10" t="str">
        <f>IF($B34="","",IFERROR(VLOOKUP($B34,'Типы элементов'!$A$2:$J$15,10,FALSE),""))</f>
        <v/>
      </c>
      <c r="L34" s="6" t="str">
        <f>IF($B34="","",IFERROR(INDEX('Типы элементов'!$L:$L,MATCH($B34,'Типы элементов'!$B:$B,0)),""))</f>
        <v/>
      </c>
      <c r="M34" s="6" t="str">
        <f>IF($B34="","",IFERROR(INDEX('Типы элементов'!$M:$M,MATCH($B34,'Типы элементов'!$B:$B,0)),""))</f>
        <v/>
      </c>
      <c r="N34" s="6" t="str">
        <f>IF($B34="","",IFERROR(INDEX('Типы элементов'!$N:$N,MATCH($B34,'Типы элементов'!$B:$B,0)),""))</f>
        <v/>
      </c>
      <c r="O34" s="6" t="str">
        <f>IF($B34="","",IFERROR(INDEX('Типы элементов'!$O:$O,MATCH($B34,'Типы элементов'!$B:$B,0)),""))</f>
        <v/>
      </c>
      <c r="P34" s="6" t="str">
        <f>IF($B34="","",IFERROR(INDEX('Типы элементов'!$P:$P,MATCH($B34,'Типы элементов'!$B:$B,0)),""))</f>
        <v/>
      </c>
    </row>
    <row r="35" spans="1:16">
      <c r="A35" s="6">
        <v>34</v>
      </c>
      <c r="B35" s="6"/>
      <c r="C35" s="9" t="str">
        <f>IF($B35="","",IFERROR(VLOOKUP($B35,'Типы элементов'!$A$2:$J$15,2,FALSE),""))</f>
        <v/>
      </c>
      <c r="D35" s="9" t="str">
        <f>IF($B35="","",IFERROR(VLOOKUP($B35,'Типы элементов'!$A$2:$J$15,3,FALSE),""))</f>
        <v/>
      </c>
      <c r="E35" s="9" t="str">
        <f>IF($B35="","",IFERROR(VLOOKUP($B35,'Типы элементов'!$A$2:$J$15,4,FALSE),""))</f>
        <v/>
      </c>
      <c r="F35" s="9" t="str">
        <f>IF($B35="","",IFERROR(VLOOKUP($B35,'Типы элементов'!$A$2:$J$15,5,FALSE),""))</f>
        <v/>
      </c>
      <c r="G35" s="9" t="str">
        <f>IF($B35="","",IFERROR(VLOOKUP($B35,'Типы элементов'!$A$2:$J$15,6,FALSE),""))</f>
        <v/>
      </c>
      <c r="H35" s="9" t="str">
        <f>IF($B35="","",IFERROR(VLOOKUP($B35,'Типы элементов'!$A$2:$J$15,7,FALSE),""))</f>
        <v/>
      </c>
      <c r="I35" s="9" t="str">
        <f>IF($B35="","",IFERROR(VLOOKUP($B35,'Типы элементов'!$A$2:$J$15,8,FALSE),""))</f>
        <v/>
      </c>
      <c r="J35" s="9" t="str">
        <f>IF($B35="","",IFERROR(VLOOKUP($B35,'Типы элементов'!$A$2:$J$15,9,FALSE),""))</f>
        <v/>
      </c>
      <c r="K35" s="10" t="str">
        <f>IF($B35="","",IFERROR(VLOOKUP($B35,'Типы элементов'!$A$2:$J$15,10,FALSE),""))</f>
        <v/>
      </c>
      <c r="L35" s="6" t="str">
        <f>IF($B35="","",IFERROR(INDEX('Типы элементов'!$L:$L,MATCH($B35,'Типы элементов'!$B:$B,0)),""))</f>
        <v/>
      </c>
      <c r="M35" s="6" t="str">
        <f>IF($B35="","",IFERROR(INDEX('Типы элементов'!$M:$M,MATCH($B35,'Типы элементов'!$B:$B,0)),""))</f>
        <v/>
      </c>
      <c r="N35" s="6" t="str">
        <f>IF($B35="","",IFERROR(INDEX('Типы элементов'!$N:$N,MATCH($B35,'Типы элементов'!$B:$B,0)),""))</f>
        <v/>
      </c>
      <c r="O35" s="6" t="str">
        <f>IF($B35="","",IFERROR(INDEX('Типы элементов'!$O:$O,MATCH($B35,'Типы элементов'!$B:$B,0)),""))</f>
        <v/>
      </c>
      <c r="P35" s="6" t="str">
        <f>IF($B35="","",IFERROR(INDEX('Типы элементов'!$P:$P,MATCH($B35,'Типы элементов'!$B:$B,0)),""))</f>
        <v/>
      </c>
    </row>
    <row r="36" spans="1:16">
      <c r="A36" s="6">
        <v>35</v>
      </c>
      <c r="B36" s="6"/>
      <c r="C36" s="9" t="str">
        <f>IF($B36="","",IFERROR(VLOOKUP($B36,'Типы элементов'!$A$2:$J$15,2,FALSE),""))</f>
        <v/>
      </c>
      <c r="D36" s="9" t="str">
        <f>IF($B36="","",IFERROR(VLOOKUP($B36,'Типы элементов'!$A$2:$J$15,3,FALSE),""))</f>
        <v/>
      </c>
      <c r="E36" s="9" t="str">
        <f>IF($B36="","",IFERROR(VLOOKUP($B36,'Типы элементов'!$A$2:$J$15,4,FALSE),""))</f>
        <v/>
      </c>
      <c r="F36" s="9" t="str">
        <f>IF($B36="","",IFERROR(VLOOKUP($B36,'Типы элементов'!$A$2:$J$15,5,FALSE),""))</f>
        <v/>
      </c>
      <c r="G36" s="9" t="str">
        <f>IF($B36="","",IFERROR(VLOOKUP($B36,'Типы элементов'!$A$2:$J$15,6,FALSE),""))</f>
        <v/>
      </c>
      <c r="H36" s="9" t="str">
        <f>IF($B36="","",IFERROR(VLOOKUP($B36,'Типы элементов'!$A$2:$J$15,7,FALSE),""))</f>
        <v/>
      </c>
      <c r="I36" s="9" t="str">
        <f>IF($B36="","",IFERROR(VLOOKUP($B36,'Типы элементов'!$A$2:$J$15,8,FALSE),""))</f>
        <v/>
      </c>
      <c r="J36" s="9" t="str">
        <f>IF($B36="","",IFERROR(VLOOKUP($B36,'Типы элементов'!$A$2:$J$15,9,FALSE),""))</f>
        <v/>
      </c>
      <c r="K36" s="10" t="str">
        <f>IF($B36="","",IFERROR(VLOOKUP($B36,'Типы элементов'!$A$2:$J$15,10,FALSE),""))</f>
        <v/>
      </c>
      <c r="L36" s="6" t="str">
        <f>IF($B36="","",IFERROR(INDEX('Типы элементов'!$L:$L,MATCH($B36,'Типы элементов'!$B:$B,0)),""))</f>
        <v/>
      </c>
      <c r="M36" s="6" t="str">
        <f>IF($B36="","",IFERROR(INDEX('Типы элементов'!$M:$M,MATCH($B36,'Типы элементов'!$B:$B,0)),""))</f>
        <v/>
      </c>
      <c r="N36" s="6" t="str">
        <f>IF($B36="","",IFERROR(INDEX('Типы элементов'!$N:$N,MATCH($B36,'Типы элементов'!$B:$B,0)),""))</f>
        <v/>
      </c>
      <c r="O36" s="6" t="str">
        <f>IF($B36="","",IFERROR(INDEX('Типы элементов'!$O:$O,MATCH($B36,'Типы элементов'!$B:$B,0)),""))</f>
        <v/>
      </c>
      <c r="P36" s="6" t="str">
        <f>IF($B36="","",IFERROR(INDEX('Типы элементов'!$P:$P,MATCH($B36,'Типы элементов'!$B:$B,0)),""))</f>
        <v/>
      </c>
    </row>
    <row r="37" spans="1:16">
      <c r="A37" s="6">
        <v>36</v>
      </c>
      <c r="B37" s="6"/>
      <c r="C37" s="9" t="str">
        <f>IF($B37="","",IFERROR(VLOOKUP($B37,'Типы элементов'!$A$2:$J$15,2,FALSE),""))</f>
        <v/>
      </c>
      <c r="D37" s="9" t="str">
        <f>IF($B37="","",IFERROR(VLOOKUP($B37,'Типы элементов'!$A$2:$J$15,3,FALSE),""))</f>
        <v/>
      </c>
      <c r="E37" s="9" t="str">
        <f>IF($B37="","",IFERROR(VLOOKUP($B37,'Типы элементов'!$A$2:$J$15,4,FALSE),""))</f>
        <v/>
      </c>
      <c r="F37" s="9" t="str">
        <f>IF($B37="","",IFERROR(VLOOKUP($B37,'Типы элементов'!$A$2:$J$15,5,FALSE),""))</f>
        <v/>
      </c>
      <c r="G37" s="9" t="str">
        <f>IF($B37="","",IFERROR(VLOOKUP($B37,'Типы элементов'!$A$2:$J$15,6,FALSE),""))</f>
        <v/>
      </c>
      <c r="H37" s="9" t="str">
        <f>IF($B37="","",IFERROR(VLOOKUP($B37,'Типы элементов'!$A$2:$J$15,7,FALSE),""))</f>
        <v/>
      </c>
      <c r="I37" s="9" t="str">
        <f>IF($B37="","",IFERROR(VLOOKUP($B37,'Типы элементов'!$A$2:$J$15,8,FALSE),""))</f>
        <v/>
      </c>
      <c r="J37" s="9" t="str">
        <f>IF($B37="","",IFERROR(VLOOKUP($B37,'Типы элементов'!$A$2:$J$15,9,FALSE),""))</f>
        <v/>
      </c>
      <c r="K37" s="10" t="str">
        <f>IF($B37="","",IFERROR(VLOOKUP($B37,'Типы элементов'!$A$2:$J$15,10,FALSE),""))</f>
        <v/>
      </c>
      <c r="L37" s="6" t="str">
        <f>IF($B37="","",IFERROR(INDEX('Типы элементов'!$L:$L,MATCH($B37,'Типы элементов'!$B:$B,0)),""))</f>
        <v/>
      </c>
      <c r="M37" s="6" t="str">
        <f>IF($B37="","",IFERROR(INDEX('Типы элементов'!$M:$M,MATCH($B37,'Типы элементов'!$B:$B,0)),""))</f>
        <v/>
      </c>
      <c r="N37" s="6" t="str">
        <f>IF($B37="","",IFERROR(INDEX('Типы элементов'!$N:$N,MATCH($B37,'Типы элементов'!$B:$B,0)),""))</f>
        <v/>
      </c>
      <c r="O37" s="6" t="str">
        <f>IF($B37="","",IFERROR(INDEX('Типы элементов'!$O:$O,MATCH($B37,'Типы элементов'!$B:$B,0)),""))</f>
        <v/>
      </c>
      <c r="P37" s="6" t="str">
        <f>IF($B37="","",IFERROR(INDEX('Типы элементов'!$P:$P,MATCH($B37,'Типы элементов'!$B:$B,0)),""))</f>
        <v/>
      </c>
    </row>
    <row r="38" spans="1:16">
      <c r="A38" s="6">
        <v>37</v>
      </c>
      <c r="B38" s="6"/>
      <c r="C38" s="9" t="str">
        <f>IF($B38="","",IFERROR(VLOOKUP($B38,'Типы элементов'!$A$2:$J$15,2,FALSE),""))</f>
        <v/>
      </c>
      <c r="D38" s="9" t="str">
        <f>IF($B38="","",IFERROR(VLOOKUP($B38,'Типы элементов'!$A$2:$J$15,3,FALSE),""))</f>
        <v/>
      </c>
      <c r="E38" s="9" t="str">
        <f>IF($B38="","",IFERROR(VLOOKUP($B38,'Типы элементов'!$A$2:$J$15,4,FALSE),""))</f>
        <v/>
      </c>
      <c r="F38" s="9" t="str">
        <f>IF($B38="","",IFERROR(VLOOKUP($B38,'Типы элементов'!$A$2:$J$15,5,FALSE),""))</f>
        <v/>
      </c>
      <c r="G38" s="9" t="str">
        <f>IF($B38="","",IFERROR(VLOOKUP($B38,'Типы элементов'!$A$2:$J$15,6,FALSE),""))</f>
        <v/>
      </c>
      <c r="H38" s="9" t="str">
        <f>IF($B38="","",IFERROR(VLOOKUP($B38,'Типы элементов'!$A$2:$J$15,7,FALSE),""))</f>
        <v/>
      </c>
      <c r="I38" s="9" t="str">
        <f>IF($B38="","",IFERROR(VLOOKUP($B38,'Типы элементов'!$A$2:$J$15,8,FALSE),""))</f>
        <v/>
      </c>
      <c r="J38" s="9" t="str">
        <f>IF($B38="","",IFERROR(VLOOKUP($B38,'Типы элементов'!$A$2:$J$15,9,FALSE),""))</f>
        <v/>
      </c>
      <c r="K38" s="10" t="str">
        <f>IF($B38="","",IFERROR(VLOOKUP($B38,'Типы элементов'!$A$2:$J$15,10,FALSE),""))</f>
        <v/>
      </c>
      <c r="L38" s="6" t="str">
        <f>IF($B38="","",IFERROR(INDEX('Типы элементов'!$L:$L,MATCH($B38,'Типы элементов'!$B:$B,0)),""))</f>
        <v/>
      </c>
      <c r="M38" s="6" t="str">
        <f>IF($B38="","",IFERROR(INDEX('Типы элементов'!$M:$M,MATCH($B38,'Типы элементов'!$B:$B,0)),""))</f>
        <v/>
      </c>
      <c r="N38" s="6" t="str">
        <f>IF($B38="","",IFERROR(INDEX('Типы элементов'!$N:$N,MATCH($B38,'Типы элементов'!$B:$B,0)),""))</f>
        <v/>
      </c>
      <c r="O38" s="6" t="str">
        <f>IF($B38="","",IFERROR(INDEX('Типы элементов'!$O:$O,MATCH($B38,'Типы элементов'!$B:$B,0)),""))</f>
        <v/>
      </c>
      <c r="P38" s="6" t="str">
        <f>IF($B38="","",IFERROR(INDEX('Типы элементов'!$P:$P,MATCH($B38,'Типы элементов'!$B:$B,0)),""))</f>
        <v/>
      </c>
    </row>
    <row r="39" spans="1:16">
      <c r="A39" s="6">
        <v>38</v>
      </c>
      <c r="B39" s="6"/>
      <c r="C39" s="9" t="str">
        <f>IF($B39="","",IFERROR(VLOOKUP($B39,'Типы элементов'!$A$2:$J$15,2,FALSE),""))</f>
        <v/>
      </c>
      <c r="D39" s="9" t="str">
        <f>IF($B39="","",IFERROR(VLOOKUP($B39,'Типы элементов'!$A$2:$J$15,3,FALSE),""))</f>
        <v/>
      </c>
      <c r="E39" s="9" t="str">
        <f>IF($B39="","",IFERROR(VLOOKUP($B39,'Типы элементов'!$A$2:$J$15,4,FALSE),""))</f>
        <v/>
      </c>
      <c r="F39" s="9" t="str">
        <f>IF($B39="","",IFERROR(VLOOKUP($B39,'Типы элементов'!$A$2:$J$15,5,FALSE),""))</f>
        <v/>
      </c>
      <c r="G39" s="9" t="str">
        <f>IF($B39="","",IFERROR(VLOOKUP($B39,'Типы элементов'!$A$2:$J$15,6,FALSE),""))</f>
        <v/>
      </c>
      <c r="H39" s="9" t="str">
        <f>IF($B39="","",IFERROR(VLOOKUP($B39,'Типы элементов'!$A$2:$J$15,7,FALSE),""))</f>
        <v/>
      </c>
      <c r="I39" s="9" t="str">
        <f>IF($B39="","",IFERROR(VLOOKUP($B39,'Типы элементов'!$A$2:$J$15,8,FALSE),""))</f>
        <v/>
      </c>
      <c r="J39" s="9" t="str">
        <f>IF($B39="","",IFERROR(VLOOKUP($B39,'Типы элементов'!$A$2:$J$15,9,FALSE),""))</f>
        <v/>
      </c>
      <c r="K39" s="10" t="str">
        <f>IF($B39="","",IFERROR(VLOOKUP($B39,'Типы элементов'!$A$2:$J$15,10,FALSE),""))</f>
        <v/>
      </c>
      <c r="L39" s="6" t="str">
        <f>IF($B39="","",IFERROR(INDEX('Типы элементов'!$L:$L,MATCH($B39,'Типы элементов'!$B:$B,0)),""))</f>
        <v/>
      </c>
      <c r="M39" s="6" t="str">
        <f>IF($B39="","",IFERROR(INDEX('Типы элементов'!$M:$M,MATCH($B39,'Типы элементов'!$B:$B,0)),""))</f>
        <v/>
      </c>
      <c r="N39" s="6" t="str">
        <f>IF($B39="","",IFERROR(INDEX('Типы элементов'!$N:$N,MATCH($B39,'Типы элементов'!$B:$B,0)),""))</f>
        <v/>
      </c>
      <c r="O39" s="6" t="str">
        <f>IF($B39="","",IFERROR(INDEX('Типы элементов'!$O:$O,MATCH($B39,'Типы элементов'!$B:$B,0)),""))</f>
        <v/>
      </c>
      <c r="P39" s="6" t="str">
        <f>IF($B39="","",IFERROR(INDEX('Типы элементов'!$P:$P,MATCH($B39,'Типы элементов'!$B:$B,0)),""))</f>
        <v/>
      </c>
    </row>
    <row r="40" spans="1:16">
      <c r="A40" s="6">
        <v>39</v>
      </c>
      <c r="B40" s="6"/>
      <c r="C40" s="9" t="str">
        <f>IF($B40="","",IFERROR(VLOOKUP($B40,'Типы элементов'!$A$2:$J$15,2,FALSE),""))</f>
        <v/>
      </c>
      <c r="D40" s="9" t="str">
        <f>IF($B40="","",IFERROR(VLOOKUP($B40,'Типы элементов'!$A$2:$J$15,3,FALSE),""))</f>
        <v/>
      </c>
      <c r="E40" s="9" t="str">
        <f>IF($B40="","",IFERROR(VLOOKUP($B40,'Типы элементов'!$A$2:$J$15,4,FALSE),""))</f>
        <v/>
      </c>
      <c r="F40" s="9" t="str">
        <f>IF($B40="","",IFERROR(VLOOKUP($B40,'Типы элементов'!$A$2:$J$15,5,FALSE),""))</f>
        <v/>
      </c>
      <c r="G40" s="9" t="str">
        <f>IF($B40="","",IFERROR(VLOOKUP($B40,'Типы элементов'!$A$2:$J$15,6,FALSE),""))</f>
        <v/>
      </c>
      <c r="H40" s="9" t="str">
        <f>IF($B40="","",IFERROR(VLOOKUP($B40,'Типы элементов'!$A$2:$J$15,7,FALSE),""))</f>
        <v/>
      </c>
      <c r="I40" s="9" t="str">
        <f>IF($B40="","",IFERROR(VLOOKUP($B40,'Типы элементов'!$A$2:$J$15,8,FALSE),""))</f>
        <v/>
      </c>
      <c r="J40" s="9" t="str">
        <f>IF($B40="","",IFERROR(VLOOKUP($B40,'Типы элементов'!$A$2:$J$15,9,FALSE),""))</f>
        <v/>
      </c>
      <c r="K40" s="10" t="str">
        <f>IF($B40="","",IFERROR(VLOOKUP($B40,'Типы элементов'!$A$2:$J$15,10,FALSE),""))</f>
        <v/>
      </c>
      <c r="L40" s="6" t="str">
        <f>IF($B40="","",IFERROR(INDEX('Типы элементов'!$L:$L,MATCH($B40,'Типы элементов'!$B:$B,0)),""))</f>
        <v/>
      </c>
      <c r="M40" s="6" t="str">
        <f>IF($B40="","",IFERROR(INDEX('Типы элементов'!$M:$M,MATCH($B40,'Типы элементов'!$B:$B,0)),""))</f>
        <v/>
      </c>
      <c r="N40" s="6" t="str">
        <f>IF($B40="","",IFERROR(INDEX('Типы элементов'!$N:$N,MATCH($B40,'Типы элементов'!$B:$B,0)),""))</f>
        <v/>
      </c>
      <c r="O40" s="6" t="str">
        <f>IF($B40="","",IFERROR(INDEX('Типы элементов'!$O:$O,MATCH($B40,'Типы элементов'!$B:$B,0)),""))</f>
        <v/>
      </c>
      <c r="P40" s="6" t="str">
        <f>IF($B40="","",IFERROR(INDEX('Типы элементов'!$P:$P,MATCH($B40,'Типы элементов'!$B:$B,0)),""))</f>
        <v/>
      </c>
    </row>
    <row r="41" spans="1:16">
      <c r="A41" s="6">
        <v>40</v>
      </c>
      <c r="B41" s="6"/>
      <c r="C41" s="9" t="str">
        <f>IF($B41="","",IFERROR(VLOOKUP($B41,'Типы элементов'!$A$2:$J$15,2,FALSE),""))</f>
        <v/>
      </c>
      <c r="D41" s="9" t="str">
        <f>IF($B41="","",IFERROR(VLOOKUP($B41,'Типы элементов'!$A$2:$J$15,3,FALSE),""))</f>
        <v/>
      </c>
      <c r="E41" s="9" t="str">
        <f>IF($B41="","",IFERROR(VLOOKUP($B41,'Типы элементов'!$A$2:$J$15,4,FALSE),""))</f>
        <v/>
      </c>
      <c r="F41" s="9" t="str">
        <f>IF($B41="","",IFERROR(VLOOKUP($B41,'Типы элементов'!$A$2:$J$15,5,FALSE),""))</f>
        <v/>
      </c>
      <c r="G41" s="9" t="str">
        <f>IF($B41="","",IFERROR(VLOOKUP($B41,'Типы элементов'!$A$2:$J$15,6,FALSE),""))</f>
        <v/>
      </c>
      <c r="H41" s="9" t="str">
        <f>IF($B41="","",IFERROR(VLOOKUP($B41,'Типы элементов'!$A$2:$J$15,7,FALSE),""))</f>
        <v/>
      </c>
      <c r="I41" s="9" t="str">
        <f>IF($B41="","",IFERROR(VLOOKUP($B41,'Типы элементов'!$A$2:$J$15,8,FALSE),""))</f>
        <v/>
      </c>
      <c r="J41" s="9" t="str">
        <f>IF($B41="","",IFERROR(VLOOKUP($B41,'Типы элементов'!$A$2:$J$15,9,FALSE),""))</f>
        <v/>
      </c>
      <c r="K41" s="10" t="str">
        <f>IF($B41="","",IFERROR(VLOOKUP($B41,'Типы элементов'!$A$2:$J$15,10,FALSE),""))</f>
        <v/>
      </c>
      <c r="L41" s="6" t="str">
        <f>IF($B41="","",IFERROR(INDEX('Типы элементов'!$L:$L,MATCH($B41,'Типы элементов'!$B:$B,0)),""))</f>
        <v/>
      </c>
      <c r="M41" s="6" t="str">
        <f>IF($B41="","",IFERROR(INDEX('Типы элементов'!$M:$M,MATCH($B41,'Типы элементов'!$B:$B,0)),""))</f>
        <v/>
      </c>
      <c r="N41" s="6" t="str">
        <f>IF($B41="","",IFERROR(INDEX('Типы элементов'!$N:$N,MATCH($B41,'Типы элементов'!$B:$B,0)),""))</f>
        <v/>
      </c>
      <c r="O41" s="6" t="str">
        <f>IF($B41="","",IFERROR(INDEX('Типы элементов'!$O:$O,MATCH($B41,'Типы элементов'!$B:$B,0)),""))</f>
        <v/>
      </c>
      <c r="P41" s="6" t="str">
        <f>IF($B41="","",IFERROR(INDEX('Типы элементов'!$P:$P,MATCH($B41,'Типы элементов'!$B:$B,0)),""))</f>
        <v/>
      </c>
    </row>
    <row r="42" spans="1:16">
      <c r="A42" s="6">
        <v>41</v>
      </c>
      <c r="B42" s="6"/>
      <c r="C42" s="9" t="str">
        <f>IF($B42="","",IFERROR(VLOOKUP($B42,'Типы элементов'!$A$2:$J$15,2,FALSE),""))</f>
        <v/>
      </c>
      <c r="D42" s="9" t="str">
        <f>IF($B42="","",IFERROR(VLOOKUP($B42,'Типы элементов'!$A$2:$J$15,3,FALSE),""))</f>
        <v/>
      </c>
      <c r="E42" s="9" t="str">
        <f>IF($B42="","",IFERROR(VLOOKUP($B42,'Типы элементов'!$A$2:$J$15,4,FALSE),""))</f>
        <v/>
      </c>
      <c r="F42" s="9" t="str">
        <f>IF($B42="","",IFERROR(VLOOKUP($B42,'Типы элементов'!$A$2:$J$15,5,FALSE),""))</f>
        <v/>
      </c>
      <c r="G42" s="9" t="str">
        <f>IF($B42="","",IFERROR(VLOOKUP($B42,'Типы элементов'!$A$2:$J$15,6,FALSE),""))</f>
        <v/>
      </c>
      <c r="H42" s="9" t="str">
        <f>IF($B42="","",IFERROR(VLOOKUP($B42,'Типы элементов'!$A$2:$J$15,7,FALSE),""))</f>
        <v/>
      </c>
      <c r="I42" s="9" t="str">
        <f>IF($B42="","",IFERROR(VLOOKUP($B42,'Типы элементов'!$A$2:$J$15,8,FALSE),""))</f>
        <v/>
      </c>
      <c r="J42" s="9" t="str">
        <f>IF($B42="","",IFERROR(VLOOKUP($B42,'Типы элементов'!$A$2:$J$15,9,FALSE),""))</f>
        <v/>
      </c>
      <c r="K42" s="10" t="str">
        <f>IF($B42="","",IFERROR(VLOOKUP($B42,'Типы элементов'!$A$2:$J$15,10,FALSE),""))</f>
        <v/>
      </c>
      <c r="L42" s="6" t="str">
        <f>IF($B42="","",IFERROR(INDEX('Типы элементов'!$L:$L,MATCH($B42,'Типы элементов'!$B:$B,0)),""))</f>
        <v/>
      </c>
      <c r="M42" s="6" t="str">
        <f>IF($B42="","",IFERROR(INDEX('Типы элементов'!$M:$M,MATCH($B42,'Типы элементов'!$B:$B,0)),""))</f>
        <v/>
      </c>
      <c r="N42" s="6" t="str">
        <f>IF($B42="","",IFERROR(INDEX('Типы элементов'!$N:$N,MATCH($B42,'Типы элементов'!$B:$B,0)),""))</f>
        <v/>
      </c>
      <c r="O42" s="6" t="str">
        <f>IF($B42="","",IFERROR(INDEX('Типы элементов'!$O:$O,MATCH($B42,'Типы элементов'!$B:$B,0)),""))</f>
        <v/>
      </c>
      <c r="P42" s="6" t="str">
        <f>IF($B42="","",IFERROR(INDEX('Типы элементов'!$P:$P,MATCH($B42,'Типы элементов'!$B:$B,0)),""))</f>
        <v/>
      </c>
    </row>
    <row r="43" spans="1:16">
      <c r="A43" s="6">
        <v>42</v>
      </c>
      <c r="B43" s="6"/>
      <c r="C43" s="9" t="str">
        <f>IF($B43="","",IFERROR(VLOOKUP($B43,'Типы элементов'!$A$2:$J$15,2,FALSE),""))</f>
        <v/>
      </c>
      <c r="D43" s="9" t="str">
        <f>IF($B43="","",IFERROR(VLOOKUP($B43,'Типы элементов'!$A$2:$J$15,3,FALSE),""))</f>
        <v/>
      </c>
      <c r="E43" s="9" t="str">
        <f>IF($B43="","",IFERROR(VLOOKUP($B43,'Типы элементов'!$A$2:$J$15,4,FALSE),""))</f>
        <v/>
      </c>
      <c r="F43" s="9" t="str">
        <f>IF($B43="","",IFERROR(VLOOKUP($B43,'Типы элементов'!$A$2:$J$15,5,FALSE),""))</f>
        <v/>
      </c>
      <c r="G43" s="9" t="str">
        <f>IF($B43="","",IFERROR(VLOOKUP($B43,'Типы элементов'!$A$2:$J$15,6,FALSE),""))</f>
        <v/>
      </c>
      <c r="H43" s="9" t="str">
        <f>IF($B43="","",IFERROR(VLOOKUP($B43,'Типы элементов'!$A$2:$J$15,7,FALSE),""))</f>
        <v/>
      </c>
      <c r="I43" s="9" t="str">
        <f>IF($B43="","",IFERROR(VLOOKUP($B43,'Типы элементов'!$A$2:$J$15,8,FALSE),""))</f>
        <v/>
      </c>
      <c r="J43" s="9" t="str">
        <f>IF($B43="","",IFERROR(VLOOKUP($B43,'Типы элементов'!$A$2:$J$15,9,FALSE),""))</f>
        <v/>
      </c>
      <c r="K43" s="10" t="str">
        <f>IF($B43="","",IFERROR(VLOOKUP($B43,'Типы элементов'!$A$2:$J$15,10,FALSE),""))</f>
        <v/>
      </c>
      <c r="L43" s="6" t="str">
        <f>IF($B43="","",IFERROR(INDEX('Типы элементов'!$L:$L,MATCH($B43,'Типы элементов'!$B:$B,0)),""))</f>
        <v/>
      </c>
      <c r="M43" s="6" t="str">
        <f>IF($B43="","",IFERROR(INDEX('Типы элементов'!$M:$M,MATCH($B43,'Типы элементов'!$B:$B,0)),""))</f>
        <v/>
      </c>
      <c r="N43" s="6" t="str">
        <f>IF($B43="","",IFERROR(INDEX('Типы элементов'!$N:$N,MATCH($B43,'Типы элементов'!$B:$B,0)),""))</f>
        <v/>
      </c>
      <c r="O43" s="6" t="str">
        <f>IF($B43="","",IFERROR(INDEX('Типы элементов'!$O:$O,MATCH($B43,'Типы элементов'!$B:$B,0)),""))</f>
        <v/>
      </c>
      <c r="P43" s="6" t="str">
        <f>IF($B43="","",IFERROR(INDEX('Типы элементов'!$P:$P,MATCH($B43,'Типы элементов'!$B:$B,0)),""))</f>
        <v/>
      </c>
    </row>
    <row r="44" spans="1:16">
      <c r="A44" s="6">
        <v>43</v>
      </c>
      <c r="B44" s="6"/>
      <c r="C44" s="9" t="str">
        <f>IF($B44="","",IFERROR(VLOOKUP($B44,'Типы элементов'!$A$2:$J$15,2,FALSE),""))</f>
        <v/>
      </c>
      <c r="D44" s="9" t="str">
        <f>IF($B44="","",IFERROR(VLOOKUP($B44,'Типы элементов'!$A$2:$J$15,3,FALSE),""))</f>
        <v/>
      </c>
      <c r="E44" s="9" t="str">
        <f>IF($B44="","",IFERROR(VLOOKUP($B44,'Типы элементов'!$A$2:$J$15,4,FALSE),""))</f>
        <v/>
      </c>
      <c r="F44" s="9" t="str">
        <f>IF($B44="","",IFERROR(VLOOKUP($B44,'Типы элементов'!$A$2:$J$15,5,FALSE),""))</f>
        <v/>
      </c>
      <c r="G44" s="9" t="str">
        <f>IF($B44="","",IFERROR(VLOOKUP($B44,'Типы элементов'!$A$2:$J$15,6,FALSE),""))</f>
        <v/>
      </c>
      <c r="H44" s="9" t="str">
        <f>IF($B44="","",IFERROR(VLOOKUP($B44,'Типы элементов'!$A$2:$J$15,7,FALSE),""))</f>
        <v/>
      </c>
      <c r="I44" s="9" t="str">
        <f>IF($B44="","",IFERROR(VLOOKUP($B44,'Типы элементов'!$A$2:$J$15,8,FALSE),""))</f>
        <v/>
      </c>
      <c r="J44" s="9" t="str">
        <f>IF($B44="","",IFERROR(VLOOKUP($B44,'Типы элементов'!$A$2:$J$15,9,FALSE),""))</f>
        <v/>
      </c>
      <c r="K44" s="10" t="str">
        <f>IF($B44="","",IFERROR(VLOOKUP($B44,'Типы элементов'!$A$2:$J$15,10,FALSE),""))</f>
        <v/>
      </c>
      <c r="L44" s="6" t="str">
        <f>IF($B44="","",IFERROR(INDEX('Типы элементов'!$L:$L,MATCH($B44,'Типы элементов'!$B:$B,0)),""))</f>
        <v/>
      </c>
      <c r="M44" s="6" t="str">
        <f>IF($B44="","",IFERROR(INDEX('Типы элементов'!$M:$M,MATCH($B44,'Типы элементов'!$B:$B,0)),""))</f>
        <v/>
      </c>
      <c r="N44" s="6" t="str">
        <f>IF($B44="","",IFERROR(INDEX('Типы элементов'!$N:$N,MATCH($B44,'Типы элементов'!$B:$B,0)),""))</f>
        <v/>
      </c>
      <c r="O44" s="6" t="str">
        <f>IF($B44="","",IFERROR(INDEX('Типы элементов'!$O:$O,MATCH($B44,'Типы элементов'!$B:$B,0)),""))</f>
        <v/>
      </c>
      <c r="P44" s="6" t="str">
        <f>IF($B44="","",IFERROR(INDEX('Типы элементов'!$P:$P,MATCH($B44,'Типы элементов'!$B:$B,0)),""))</f>
        <v/>
      </c>
    </row>
    <row r="45" spans="1:16">
      <c r="A45" s="6">
        <v>44</v>
      </c>
      <c r="B45" s="6"/>
      <c r="C45" s="9" t="str">
        <f>IF($B45="","",IFERROR(VLOOKUP($B45,'Типы элементов'!$A$2:$J$15,2,FALSE),""))</f>
        <v/>
      </c>
      <c r="D45" s="9" t="str">
        <f>IF($B45="","",IFERROR(VLOOKUP($B45,'Типы элементов'!$A$2:$J$15,3,FALSE),""))</f>
        <v/>
      </c>
      <c r="E45" s="9" t="str">
        <f>IF($B45="","",IFERROR(VLOOKUP($B45,'Типы элементов'!$A$2:$J$15,4,FALSE),""))</f>
        <v/>
      </c>
      <c r="F45" s="9" t="str">
        <f>IF($B45="","",IFERROR(VLOOKUP($B45,'Типы элементов'!$A$2:$J$15,5,FALSE),""))</f>
        <v/>
      </c>
      <c r="G45" s="9" t="str">
        <f>IF($B45="","",IFERROR(VLOOKUP($B45,'Типы элементов'!$A$2:$J$15,6,FALSE),""))</f>
        <v/>
      </c>
      <c r="H45" s="9" t="str">
        <f>IF($B45="","",IFERROR(VLOOKUP($B45,'Типы элементов'!$A$2:$J$15,7,FALSE),""))</f>
        <v/>
      </c>
      <c r="I45" s="9" t="str">
        <f>IF($B45="","",IFERROR(VLOOKUP($B45,'Типы элементов'!$A$2:$J$15,8,FALSE),""))</f>
        <v/>
      </c>
      <c r="J45" s="9" t="str">
        <f>IF($B45="","",IFERROR(VLOOKUP($B45,'Типы элементов'!$A$2:$J$15,9,FALSE),""))</f>
        <v/>
      </c>
      <c r="K45" s="10" t="str">
        <f>IF($B45="","",IFERROR(VLOOKUP($B45,'Типы элементов'!$A$2:$J$15,10,FALSE),""))</f>
        <v/>
      </c>
      <c r="L45" s="6" t="str">
        <f>IF($B45="","",IFERROR(INDEX('Типы элементов'!$L:$L,MATCH($B45,'Типы элементов'!$B:$B,0)),""))</f>
        <v/>
      </c>
      <c r="M45" s="6" t="str">
        <f>IF($B45="","",IFERROR(INDEX('Типы элементов'!$M:$M,MATCH($B45,'Типы элементов'!$B:$B,0)),""))</f>
        <v/>
      </c>
      <c r="N45" s="6" t="str">
        <f>IF($B45="","",IFERROR(INDEX('Типы элементов'!$N:$N,MATCH($B45,'Типы элементов'!$B:$B,0)),""))</f>
        <v/>
      </c>
      <c r="O45" s="6" t="str">
        <f>IF($B45="","",IFERROR(INDEX('Типы элементов'!$O:$O,MATCH($B45,'Типы элементов'!$B:$B,0)),""))</f>
        <v/>
      </c>
      <c r="P45" s="6" t="str">
        <f>IF($B45="","",IFERROR(INDEX('Типы элементов'!$P:$P,MATCH($B45,'Типы элементов'!$B:$B,0)),""))</f>
        <v/>
      </c>
    </row>
    <row r="46" spans="1:16">
      <c r="A46" s="6">
        <v>45</v>
      </c>
      <c r="B46" s="6"/>
      <c r="C46" s="9" t="str">
        <f>IF($B46="","",IFERROR(VLOOKUP($B46,'Типы элементов'!$A$2:$J$15,2,FALSE),""))</f>
        <v/>
      </c>
      <c r="D46" s="9" t="str">
        <f>IF($B46="","",IFERROR(VLOOKUP($B46,'Типы элементов'!$A$2:$J$15,3,FALSE),""))</f>
        <v/>
      </c>
      <c r="E46" s="9" t="str">
        <f>IF($B46="","",IFERROR(VLOOKUP($B46,'Типы элементов'!$A$2:$J$15,4,FALSE),""))</f>
        <v/>
      </c>
      <c r="F46" s="9" t="str">
        <f>IF($B46="","",IFERROR(VLOOKUP($B46,'Типы элементов'!$A$2:$J$15,5,FALSE),""))</f>
        <v/>
      </c>
      <c r="G46" s="9" t="str">
        <f>IF($B46="","",IFERROR(VLOOKUP($B46,'Типы элементов'!$A$2:$J$15,6,FALSE),""))</f>
        <v/>
      </c>
      <c r="H46" s="9" t="str">
        <f>IF($B46="","",IFERROR(VLOOKUP($B46,'Типы элементов'!$A$2:$J$15,7,FALSE),""))</f>
        <v/>
      </c>
      <c r="I46" s="9" t="str">
        <f>IF($B46="","",IFERROR(VLOOKUP($B46,'Типы элементов'!$A$2:$J$15,8,FALSE),""))</f>
        <v/>
      </c>
      <c r="J46" s="9" t="str">
        <f>IF($B46="","",IFERROR(VLOOKUP($B46,'Типы элементов'!$A$2:$J$15,9,FALSE),""))</f>
        <v/>
      </c>
      <c r="K46" s="10" t="str">
        <f>IF($B46="","",IFERROR(VLOOKUP($B46,'Типы элементов'!$A$2:$J$15,10,FALSE),""))</f>
        <v/>
      </c>
      <c r="L46" s="6" t="str">
        <f>IF($B46="","",IFERROR(INDEX('Типы элементов'!$L:$L,MATCH($B46,'Типы элементов'!$B:$B,0)),""))</f>
        <v/>
      </c>
      <c r="M46" s="6" t="str">
        <f>IF($B46="","",IFERROR(INDEX('Типы элементов'!$M:$M,MATCH($B46,'Типы элементов'!$B:$B,0)),""))</f>
        <v/>
      </c>
      <c r="N46" s="6" t="str">
        <f>IF($B46="","",IFERROR(INDEX('Типы элементов'!$N:$N,MATCH($B46,'Типы элементов'!$B:$B,0)),""))</f>
        <v/>
      </c>
      <c r="O46" s="6" t="str">
        <f>IF($B46="","",IFERROR(INDEX('Типы элементов'!$O:$O,MATCH($B46,'Типы элементов'!$B:$B,0)),""))</f>
        <v/>
      </c>
      <c r="P46" s="6" t="str">
        <f>IF($B46="","",IFERROR(INDEX('Типы элементов'!$P:$P,MATCH($B46,'Типы элементов'!$B:$B,0)),""))</f>
        <v/>
      </c>
    </row>
    <row r="47" spans="1:16">
      <c r="A47" s="6">
        <v>46</v>
      </c>
      <c r="B47" s="6"/>
      <c r="C47" s="9" t="str">
        <f>IF($B47="","",IFERROR(VLOOKUP($B47,'Типы элементов'!$A$2:$J$15,2,FALSE),""))</f>
        <v/>
      </c>
      <c r="D47" s="9" t="str">
        <f>IF($B47="","",IFERROR(VLOOKUP($B47,'Типы элементов'!$A$2:$J$15,3,FALSE),""))</f>
        <v/>
      </c>
      <c r="E47" s="9" t="str">
        <f>IF($B47="","",IFERROR(VLOOKUP($B47,'Типы элементов'!$A$2:$J$15,4,FALSE),""))</f>
        <v/>
      </c>
      <c r="F47" s="9" t="str">
        <f>IF($B47="","",IFERROR(VLOOKUP($B47,'Типы элементов'!$A$2:$J$15,5,FALSE),""))</f>
        <v/>
      </c>
      <c r="G47" s="9" t="str">
        <f>IF($B47="","",IFERROR(VLOOKUP($B47,'Типы элементов'!$A$2:$J$15,6,FALSE),""))</f>
        <v/>
      </c>
      <c r="H47" s="9" t="str">
        <f>IF($B47="","",IFERROR(VLOOKUP($B47,'Типы элементов'!$A$2:$J$15,7,FALSE),""))</f>
        <v/>
      </c>
      <c r="I47" s="9" t="str">
        <f>IF($B47="","",IFERROR(VLOOKUP($B47,'Типы элементов'!$A$2:$J$15,8,FALSE),""))</f>
        <v/>
      </c>
      <c r="J47" s="9" t="str">
        <f>IF($B47="","",IFERROR(VLOOKUP($B47,'Типы элементов'!$A$2:$J$15,9,FALSE),""))</f>
        <v/>
      </c>
      <c r="K47" s="10" t="str">
        <f>IF($B47="","",IFERROR(VLOOKUP($B47,'Типы элементов'!$A$2:$J$15,10,FALSE),""))</f>
        <v/>
      </c>
      <c r="L47" s="6" t="str">
        <f>IF($B47="","",IFERROR(INDEX('Типы элементов'!$L:$L,MATCH($B47,'Типы элементов'!$B:$B,0)),""))</f>
        <v/>
      </c>
      <c r="M47" s="6" t="str">
        <f>IF($B47="","",IFERROR(INDEX('Типы элементов'!$M:$M,MATCH($B47,'Типы элементов'!$B:$B,0)),""))</f>
        <v/>
      </c>
      <c r="N47" s="6" t="str">
        <f>IF($B47="","",IFERROR(INDEX('Типы элементов'!$N:$N,MATCH($B47,'Типы элементов'!$B:$B,0)),""))</f>
        <v/>
      </c>
      <c r="O47" s="6" t="str">
        <f>IF($B47="","",IFERROR(INDEX('Типы элементов'!$O:$O,MATCH($B47,'Типы элементов'!$B:$B,0)),""))</f>
        <v/>
      </c>
      <c r="P47" s="6" t="str">
        <f>IF($B47="","",IFERROR(INDEX('Типы элементов'!$P:$P,MATCH($B47,'Типы элементов'!$B:$B,0)),""))</f>
        <v/>
      </c>
    </row>
    <row r="48" spans="1:16">
      <c r="A48" s="6">
        <v>47</v>
      </c>
      <c r="B48" s="6"/>
      <c r="C48" s="9" t="str">
        <f>IF($B48="","",IFERROR(VLOOKUP($B48,'Типы элементов'!$A$2:$J$15,2,FALSE),""))</f>
        <v/>
      </c>
      <c r="D48" s="9" t="str">
        <f>IF($B48="","",IFERROR(VLOOKUP($B48,'Типы элементов'!$A$2:$J$15,3,FALSE),""))</f>
        <v/>
      </c>
      <c r="E48" s="9" t="str">
        <f>IF($B48="","",IFERROR(VLOOKUP($B48,'Типы элементов'!$A$2:$J$15,4,FALSE),""))</f>
        <v/>
      </c>
      <c r="F48" s="9" t="str">
        <f>IF($B48="","",IFERROR(VLOOKUP($B48,'Типы элементов'!$A$2:$J$15,5,FALSE),""))</f>
        <v/>
      </c>
      <c r="G48" s="9" t="str">
        <f>IF($B48="","",IFERROR(VLOOKUP($B48,'Типы элементов'!$A$2:$J$15,6,FALSE),""))</f>
        <v/>
      </c>
      <c r="H48" s="9" t="str">
        <f>IF($B48="","",IFERROR(VLOOKUP($B48,'Типы элементов'!$A$2:$J$15,7,FALSE),""))</f>
        <v/>
      </c>
      <c r="I48" s="9" t="str">
        <f>IF($B48="","",IFERROR(VLOOKUP($B48,'Типы элементов'!$A$2:$J$15,8,FALSE),""))</f>
        <v/>
      </c>
      <c r="J48" s="9" t="str">
        <f>IF($B48="","",IFERROR(VLOOKUP($B48,'Типы элементов'!$A$2:$J$15,9,FALSE),""))</f>
        <v/>
      </c>
      <c r="K48" s="10" t="str">
        <f>IF($B48="","",IFERROR(VLOOKUP($B48,'Типы элементов'!$A$2:$J$15,10,FALSE),""))</f>
        <v/>
      </c>
      <c r="L48" s="6" t="str">
        <f>IF($B48="","",IFERROR(INDEX('Типы элементов'!$L:$L,MATCH($B48,'Типы элементов'!$B:$B,0)),""))</f>
        <v/>
      </c>
      <c r="M48" s="6" t="str">
        <f>IF($B48="","",IFERROR(INDEX('Типы элементов'!$M:$M,MATCH($B48,'Типы элементов'!$B:$B,0)),""))</f>
        <v/>
      </c>
      <c r="N48" s="6" t="str">
        <f>IF($B48="","",IFERROR(INDEX('Типы элементов'!$N:$N,MATCH($B48,'Типы элементов'!$B:$B,0)),""))</f>
        <v/>
      </c>
      <c r="O48" s="6" t="str">
        <f>IF($B48="","",IFERROR(INDEX('Типы элементов'!$O:$O,MATCH($B48,'Типы элементов'!$B:$B,0)),""))</f>
        <v/>
      </c>
      <c r="P48" s="6" t="str">
        <f>IF($B48="","",IFERROR(INDEX('Типы элементов'!$P:$P,MATCH($B48,'Типы элементов'!$B:$B,0)),""))</f>
        <v/>
      </c>
    </row>
    <row r="49" spans="1:16">
      <c r="A49" s="6">
        <v>48</v>
      </c>
      <c r="B49" s="6"/>
      <c r="C49" s="9" t="str">
        <f>IF($B49="","",IFERROR(VLOOKUP($B49,'Типы элементов'!$A$2:$J$15,2,FALSE),""))</f>
        <v/>
      </c>
      <c r="D49" s="9" t="str">
        <f>IF($B49="","",IFERROR(VLOOKUP($B49,'Типы элементов'!$A$2:$J$15,3,FALSE),""))</f>
        <v/>
      </c>
      <c r="E49" s="9" t="str">
        <f>IF($B49="","",IFERROR(VLOOKUP($B49,'Типы элементов'!$A$2:$J$15,4,FALSE),""))</f>
        <v/>
      </c>
      <c r="F49" s="9" t="str">
        <f>IF($B49="","",IFERROR(VLOOKUP($B49,'Типы элементов'!$A$2:$J$15,5,FALSE),""))</f>
        <v/>
      </c>
      <c r="G49" s="9" t="str">
        <f>IF($B49="","",IFERROR(VLOOKUP($B49,'Типы элементов'!$A$2:$J$15,6,FALSE),""))</f>
        <v/>
      </c>
      <c r="H49" s="9" t="str">
        <f>IF($B49="","",IFERROR(VLOOKUP($B49,'Типы элементов'!$A$2:$J$15,7,FALSE),""))</f>
        <v/>
      </c>
      <c r="I49" s="9" t="str">
        <f>IF($B49="","",IFERROR(VLOOKUP($B49,'Типы элементов'!$A$2:$J$15,8,FALSE),""))</f>
        <v/>
      </c>
      <c r="J49" s="9" t="str">
        <f>IF($B49="","",IFERROR(VLOOKUP($B49,'Типы элементов'!$A$2:$J$15,9,FALSE),""))</f>
        <v/>
      </c>
      <c r="K49" s="10" t="str">
        <f>IF($B49="","",IFERROR(VLOOKUP($B49,'Типы элементов'!$A$2:$J$15,10,FALSE),""))</f>
        <v/>
      </c>
      <c r="L49" s="6" t="str">
        <f>IF($B49="","",IFERROR(INDEX('Типы элементов'!$L:$L,MATCH($B49,'Типы элементов'!$B:$B,0)),""))</f>
        <v/>
      </c>
      <c r="M49" s="6" t="str">
        <f>IF($B49="","",IFERROR(INDEX('Типы элементов'!$M:$M,MATCH($B49,'Типы элементов'!$B:$B,0)),""))</f>
        <v/>
      </c>
      <c r="N49" s="6" t="str">
        <f>IF($B49="","",IFERROR(INDEX('Типы элементов'!$N:$N,MATCH($B49,'Типы элементов'!$B:$B,0)),""))</f>
        <v/>
      </c>
      <c r="O49" s="6" t="str">
        <f>IF($B49="","",IFERROR(INDEX('Типы элементов'!$O:$O,MATCH($B49,'Типы элементов'!$B:$B,0)),""))</f>
        <v/>
      </c>
      <c r="P49" s="6" t="str">
        <f>IF($B49="","",IFERROR(INDEX('Типы элементов'!$P:$P,MATCH($B49,'Типы элементов'!$B:$B,0)),""))</f>
        <v/>
      </c>
    </row>
    <row r="50" spans="1:16">
      <c r="A50" s="6">
        <v>49</v>
      </c>
      <c r="B50" s="6"/>
      <c r="C50" s="9" t="str">
        <f>IF($B50="","",IFERROR(VLOOKUP($B50,'Типы элементов'!$A$2:$J$15,2,FALSE),""))</f>
        <v/>
      </c>
      <c r="D50" s="9" t="str">
        <f>IF($B50="","",IFERROR(VLOOKUP($B50,'Типы элементов'!$A$2:$J$15,3,FALSE),""))</f>
        <v/>
      </c>
      <c r="E50" s="9" t="str">
        <f>IF($B50="","",IFERROR(VLOOKUP($B50,'Типы элементов'!$A$2:$J$15,4,FALSE),""))</f>
        <v/>
      </c>
      <c r="F50" s="9" t="str">
        <f>IF($B50="","",IFERROR(VLOOKUP($B50,'Типы элементов'!$A$2:$J$15,5,FALSE),""))</f>
        <v/>
      </c>
      <c r="G50" s="9" t="str">
        <f>IF($B50="","",IFERROR(VLOOKUP($B50,'Типы элементов'!$A$2:$J$15,6,FALSE),""))</f>
        <v/>
      </c>
      <c r="H50" s="9" t="str">
        <f>IF($B50="","",IFERROR(VLOOKUP($B50,'Типы элементов'!$A$2:$J$15,7,FALSE),""))</f>
        <v/>
      </c>
      <c r="I50" s="9" t="str">
        <f>IF($B50="","",IFERROR(VLOOKUP($B50,'Типы элементов'!$A$2:$J$15,8,FALSE),""))</f>
        <v/>
      </c>
      <c r="J50" s="9" t="str">
        <f>IF($B50="","",IFERROR(VLOOKUP($B50,'Типы элементов'!$A$2:$J$15,9,FALSE),""))</f>
        <v/>
      </c>
      <c r="K50" s="10" t="str">
        <f>IF($B50="","",IFERROR(VLOOKUP($B50,'Типы элементов'!$A$2:$J$15,10,FALSE),""))</f>
        <v/>
      </c>
      <c r="L50" s="6" t="str">
        <f>IF($B50="","",IFERROR(INDEX('Типы элементов'!$L:$L,MATCH($B50,'Типы элементов'!$B:$B,0)),""))</f>
        <v/>
      </c>
      <c r="M50" s="6" t="str">
        <f>IF($B50="","",IFERROR(INDEX('Типы элементов'!$M:$M,MATCH($B50,'Типы элементов'!$B:$B,0)),""))</f>
        <v/>
      </c>
      <c r="N50" s="6" t="str">
        <f>IF($B50="","",IFERROR(INDEX('Типы элементов'!$N:$N,MATCH($B50,'Типы элементов'!$B:$B,0)),""))</f>
        <v/>
      </c>
      <c r="O50" s="6" t="str">
        <f>IF($B50="","",IFERROR(INDEX('Типы элементов'!$O:$O,MATCH($B50,'Типы элементов'!$B:$B,0)),""))</f>
        <v/>
      </c>
      <c r="P50" s="6" t="str">
        <f>IF($B50="","",IFERROR(INDEX('Типы элементов'!$P:$P,MATCH($B50,'Типы элементов'!$B:$B,0)),""))</f>
        <v/>
      </c>
    </row>
    <row r="51" spans="1:16">
      <c r="A51" s="6">
        <v>50</v>
      </c>
      <c r="B51" s="6"/>
      <c r="C51" s="9" t="str">
        <f>IF($B51="","",IFERROR(VLOOKUP($B51,'Типы элементов'!$A$2:$J$15,2,FALSE),""))</f>
        <v/>
      </c>
      <c r="D51" s="9" t="str">
        <f>IF($B51="","",IFERROR(VLOOKUP($B51,'Типы элементов'!$A$2:$J$15,3,FALSE),""))</f>
        <v/>
      </c>
      <c r="E51" s="9" t="str">
        <f>IF($B51="","",IFERROR(VLOOKUP($B51,'Типы элементов'!$A$2:$J$15,4,FALSE),""))</f>
        <v/>
      </c>
      <c r="F51" s="9" t="str">
        <f>IF($B51="","",IFERROR(VLOOKUP($B51,'Типы элементов'!$A$2:$J$15,5,FALSE),""))</f>
        <v/>
      </c>
      <c r="G51" s="9" t="str">
        <f>IF($B51="","",IFERROR(VLOOKUP($B51,'Типы элементов'!$A$2:$J$15,6,FALSE),""))</f>
        <v/>
      </c>
      <c r="H51" s="9" t="str">
        <f>IF($B51="","",IFERROR(VLOOKUP($B51,'Типы элементов'!$A$2:$J$15,7,FALSE),""))</f>
        <v/>
      </c>
      <c r="I51" s="9" t="str">
        <f>IF($B51="","",IFERROR(VLOOKUP($B51,'Типы элементов'!$A$2:$J$15,8,FALSE),""))</f>
        <v/>
      </c>
      <c r="J51" s="9" t="str">
        <f>IF($B51="","",IFERROR(VLOOKUP($B51,'Типы элементов'!$A$2:$J$15,9,FALSE),""))</f>
        <v/>
      </c>
      <c r="K51" s="10" t="str">
        <f>IF($B51="","",IFERROR(VLOOKUP($B51,'Типы элементов'!$A$2:$J$15,10,FALSE),""))</f>
        <v/>
      </c>
      <c r="L51" s="6" t="str">
        <f>IF($B51="","",IFERROR(INDEX('Типы элементов'!$L:$L,MATCH($B51,'Типы элементов'!$B:$B,0)),""))</f>
        <v/>
      </c>
      <c r="M51" s="6" t="str">
        <f>IF($B51="","",IFERROR(INDEX('Типы элементов'!$M:$M,MATCH($B51,'Типы элементов'!$B:$B,0)),""))</f>
        <v/>
      </c>
      <c r="N51" s="6" t="str">
        <f>IF($B51="","",IFERROR(INDEX('Типы элементов'!$N:$N,MATCH($B51,'Типы элементов'!$B:$B,0)),""))</f>
        <v/>
      </c>
      <c r="O51" s="6" t="str">
        <f>IF($B51="","",IFERROR(INDEX('Типы элементов'!$O:$O,MATCH($B51,'Типы элементов'!$B:$B,0)),""))</f>
        <v/>
      </c>
      <c r="P51" s="6" t="str">
        <f>IF($B51="","",IFERROR(INDEX('Типы элементов'!$P:$P,MATCH($B51,'Типы элементов'!$B:$B,0)),""))</f>
        <v/>
      </c>
    </row>
    <row r="52" spans="1:16">
      <c r="A52" s="6">
        <v>51</v>
      </c>
      <c r="B52" s="6"/>
      <c r="C52" s="9" t="str">
        <f>IF($B52="","",IFERROR(VLOOKUP($B52,'Типы элементов'!$A$2:$J$15,2,FALSE),""))</f>
        <v/>
      </c>
      <c r="D52" s="9" t="str">
        <f>IF($B52="","",IFERROR(VLOOKUP($B52,'Типы элементов'!$A$2:$J$15,3,FALSE),""))</f>
        <v/>
      </c>
      <c r="E52" s="9" t="str">
        <f>IF($B52="","",IFERROR(VLOOKUP($B52,'Типы элементов'!$A$2:$J$15,4,FALSE),""))</f>
        <v/>
      </c>
      <c r="F52" s="9" t="str">
        <f>IF($B52="","",IFERROR(VLOOKUP($B52,'Типы элементов'!$A$2:$J$15,5,FALSE),""))</f>
        <v/>
      </c>
      <c r="G52" s="9" t="str">
        <f>IF($B52="","",IFERROR(VLOOKUP($B52,'Типы элементов'!$A$2:$J$15,6,FALSE),""))</f>
        <v/>
      </c>
      <c r="H52" s="9" t="str">
        <f>IF($B52="","",IFERROR(VLOOKUP($B52,'Типы элементов'!$A$2:$J$15,7,FALSE),""))</f>
        <v/>
      </c>
      <c r="I52" s="9" t="str">
        <f>IF($B52="","",IFERROR(VLOOKUP($B52,'Типы элементов'!$A$2:$J$15,8,FALSE),""))</f>
        <v/>
      </c>
      <c r="J52" s="9" t="str">
        <f>IF($B52="","",IFERROR(VLOOKUP($B52,'Типы элементов'!$A$2:$J$15,9,FALSE),""))</f>
        <v/>
      </c>
      <c r="K52" s="10" t="str">
        <f>IF($B52="","",IFERROR(VLOOKUP($B52,'Типы элементов'!$A$2:$J$15,10,FALSE),""))</f>
        <v/>
      </c>
      <c r="L52" s="6" t="str">
        <f>IF($B52="","",IFERROR(INDEX('Типы элементов'!$L:$L,MATCH($B52,'Типы элементов'!$B:$B,0)),""))</f>
        <v/>
      </c>
      <c r="M52" s="6" t="str">
        <f>IF($B52="","",IFERROR(INDEX('Типы элементов'!$M:$M,MATCH($B52,'Типы элементов'!$B:$B,0)),""))</f>
        <v/>
      </c>
      <c r="N52" s="6" t="str">
        <f>IF($B52="","",IFERROR(INDEX('Типы элементов'!$N:$N,MATCH($B52,'Типы элементов'!$B:$B,0)),""))</f>
        <v/>
      </c>
      <c r="O52" s="6" t="str">
        <f>IF($B52="","",IFERROR(INDEX('Типы элементов'!$O:$O,MATCH($B52,'Типы элементов'!$B:$B,0)),""))</f>
        <v/>
      </c>
      <c r="P52" s="6" t="str">
        <f>IF($B52="","",IFERROR(INDEX('Типы элементов'!$P:$P,MATCH($B52,'Типы элементов'!$B:$B,0)),""))</f>
        <v/>
      </c>
    </row>
    <row r="53" spans="1:16">
      <c r="A53" s="6">
        <v>52</v>
      </c>
      <c r="B53" s="6"/>
      <c r="C53" s="9" t="str">
        <f>IF($B53="","",IFERROR(VLOOKUP($B53,'Типы элементов'!$A$2:$J$15,2,FALSE),""))</f>
        <v/>
      </c>
      <c r="D53" s="9" t="str">
        <f>IF($B53="","",IFERROR(VLOOKUP($B53,'Типы элементов'!$A$2:$J$15,3,FALSE),""))</f>
        <v/>
      </c>
      <c r="E53" s="9" t="str">
        <f>IF($B53="","",IFERROR(VLOOKUP($B53,'Типы элементов'!$A$2:$J$15,4,FALSE),""))</f>
        <v/>
      </c>
      <c r="F53" s="9" t="str">
        <f>IF($B53="","",IFERROR(VLOOKUP($B53,'Типы элементов'!$A$2:$J$15,5,FALSE),""))</f>
        <v/>
      </c>
      <c r="G53" s="9" t="str">
        <f>IF($B53="","",IFERROR(VLOOKUP($B53,'Типы элементов'!$A$2:$J$15,6,FALSE),""))</f>
        <v/>
      </c>
      <c r="H53" s="9" t="str">
        <f>IF($B53="","",IFERROR(VLOOKUP($B53,'Типы элементов'!$A$2:$J$15,7,FALSE),""))</f>
        <v/>
      </c>
      <c r="I53" s="9" t="str">
        <f>IF($B53="","",IFERROR(VLOOKUP($B53,'Типы элементов'!$A$2:$J$15,8,FALSE),""))</f>
        <v/>
      </c>
      <c r="J53" s="9" t="str">
        <f>IF($B53="","",IFERROR(VLOOKUP($B53,'Типы элементов'!$A$2:$J$15,9,FALSE),""))</f>
        <v/>
      </c>
      <c r="K53" s="10" t="str">
        <f>IF($B53="","",IFERROR(VLOOKUP($B53,'Типы элементов'!$A$2:$J$15,10,FALSE),""))</f>
        <v/>
      </c>
      <c r="L53" s="6" t="str">
        <f>IF($B53="","",IFERROR(INDEX('Типы элементов'!$L:$L,MATCH($B53,'Типы элементов'!$B:$B,0)),""))</f>
        <v/>
      </c>
      <c r="M53" s="6" t="str">
        <f>IF($B53="","",IFERROR(INDEX('Типы элементов'!$M:$M,MATCH($B53,'Типы элементов'!$B:$B,0)),""))</f>
        <v/>
      </c>
      <c r="N53" s="6" t="str">
        <f>IF($B53="","",IFERROR(INDEX('Типы элементов'!$N:$N,MATCH($B53,'Типы элементов'!$B:$B,0)),""))</f>
        <v/>
      </c>
      <c r="O53" s="6" t="str">
        <f>IF($B53="","",IFERROR(INDEX('Типы элементов'!$O:$O,MATCH($B53,'Типы элементов'!$B:$B,0)),""))</f>
        <v/>
      </c>
      <c r="P53" s="6" t="str">
        <f>IF($B53="","",IFERROR(INDEX('Типы элементов'!$P:$P,MATCH($B53,'Типы элементов'!$B:$B,0)),""))</f>
        <v/>
      </c>
    </row>
    <row r="54" spans="1:16">
      <c r="A54" s="6">
        <v>53</v>
      </c>
      <c r="B54" s="6"/>
      <c r="C54" s="9" t="str">
        <f>IF($B54="","",IFERROR(VLOOKUP($B54,'Типы элементов'!$A$2:$J$15,2,FALSE),""))</f>
        <v/>
      </c>
      <c r="D54" s="9" t="str">
        <f>IF($B54="","",IFERROR(VLOOKUP($B54,'Типы элементов'!$A$2:$J$15,3,FALSE),""))</f>
        <v/>
      </c>
      <c r="E54" s="9" t="str">
        <f>IF($B54="","",IFERROR(VLOOKUP($B54,'Типы элементов'!$A$2:$J$15,4,FALSE),""))</f>
        <v/>
      </c>
      <c r="F54" s="9" t="str">
        <f>IF($B54="","",IFERROR(VLOOKUP($B54,'Типы элементов'!$A$2:$J$15,5,FALSE),""))</f>
        <v/>
      </c>
      <c r="G54" s="9" t="str">
        <f>IF($B54="","",IFERROR(VLOOKUP($B54,'Типы элементов'!$A$2:$J$15,6,FALSE),""))</f>
        <v/>
      </c>
      <c r="H54" s="9" t="str">
        <f>IF($B54="","",IFERROR(VLOOKUP($B54,'Типы элементов'!$A$2:$J$15,7,FALSE),""))</f>
        <v/>
      </c>
      <c r="I54" s="9" t="str">
        <f>IF($B54="","",IFERROR(VLOOKUP($B54,'Типы элементов'!$A$2:$J$15,8,FALSE),""))</f>
        <v/>
      </c>
      <c r="J54" s="9" t="str">
        <f>IF($B54="","",IFERROR(VLOOKUP($B54,'Типы элементов'!$A$2:$J$15,9,FALSE),""))</f>
        <v/>
      </c>
      <c r="K54" s="10" t="str">
        <f>IF($B54="","",IFERROR(VLOOKUP($B54,'Типы элементов'!$A$2:$J$15,10,FALSE),""))</f>
        <v/>
      </c>
      <c r="L54" s="6" t="str">
        <f>IF($B54="","",IFERROR(INDEX('Типы элементов'!$L:$L,MATCH($B54,'Типы элементов'!$B:$B,0)),""))</f>
        <v/>
      </c>
      <c r="M54" s="6" t="str">
        <f>IF($B54="","",IFERROR(INDEX('Типы элементов'!$M:$M,MATCH($B54,'Типы элементов'!$B:$B,0)),""))</f>
        <v/>
      </c>
      <c r="N54" s="6" t="str">
        <f>IF($B54="","",IFERROR(INDEX('Типы элементов'!$N:$N,MATCH($B54,'Типы элементов'!$B:$B,0)),""))</f>
        <v/>
      </c>
      <c r="O54" s="6" t="str">
        <f>IF($B54="","",IFERROR(INDEX('Типы элементов'!$O:$O,MATCH($B54,'Типы элементов'!$B:$B,0)),""))</f>
        <v/>
      </c>
      <c r="P54" s="6" t="str">
        <f>IF($B54="","",IFERROR(INDEX('Типы элементов'!$P:$P,MATCH($B54,'Типы элементов'!$B:$B,0)),""))</f>
        <v/>
      </c>
    </row>
    <row r="55" spans="1:16">
      <c r="A55" s="6">
        <v>54</v>
      </c>
      <c r="B55" s="6"/>
      <c r="C55" s="9" t="str">
        <f>IF($B55="","",IFERROR(VLOOKUP($B55,'Типы элементов'!$A$2:$J$15,2,FALSE),""))</f>
        <v/>
      </c>
      <c r="D55" s="9" t="str">
        <f>IF($B55="","",IFERROR(VLOOKUP($B55,'Типы элементов'!$A$2:$J$15,3,FALSE),""))</f>
        <v/>
      </c>
      <c r="E55" s="9" t="str">
        <f>IF($B55="","",IFERROR(VLOOKUP($B55,'Типы элементов'!$A$2:$J$15,4,FALSE),""))</f>
        <v/>
      </c>
      <c r="F55" s="9" t="str">
        <f>IF($B55="","",IFERROR(VLOOKUP($B55,'Типы элементов'!$A$2:$J$15,5,FALSE),""))</f>
        <v/>
      </c>
      <c r="G55" s="9" t="str">
        <f>IF($B55="","",IFERROR(VLOOKUP($B55,'Типы элементов'!$A$2:$J$15,6,FALSE),""))</f>
        <v/>
      </c>
      <c r="H55" s="9" t="str">
        <f>IF($B55="","",IFERROR(VLOOKUP($B55,'Типы элементов'!$A$2:$J$15,7,FALSE),""))</f>
        <v/>
      </c>
      <c r="I55" s="9" t="str">
        <f>IF($B55="","",IFERROR(VLOOKUP($B55,'Типы элементов'!$A$2:$J$15,8,FALSE),""))</f>
        <v/>
      </c>
      <c r="J55" s="9" t="str">
        <f>IF($B55="","",IFERROR(VLOOKUP($B55,'Типы элементов'!$A$2:$J$15,9,FALSE),""))</f>
        <v/>
      </c>
      <c r="K55" s="10" t="str">
        <f>IF($B55="","",IFERROR(VLOOKUP($B55,'Типы элементов'!$A$2:$J$15,10,FALSE),""))</f>
        <v/>
      </c>
      <c r="L55" s="6" t="str">
        <f>IF($B55="","",IFERROR(INDEX('Типы элементов'!$L:$L,MATCH($B55,'Типы элементов'!$B:$B,0)),""))</f>
        <v/>
      </c>
      <c r="M55" s="6" t="str">
        <f>IF($B55="","",IFERROR(INDEX('Типы элементов'!$M:$M,MATCH($B55,'Типы элементов'!$B:$B,0)),""))</f>
        <v/>
      </c>
      <c r="N55" s="6" t="str">
        <f>IF($B55="","",IFERROR(INDEX('Типы элементов'!$N:$N,MATCH($B55,'Типы элементов'!$B:$B,0)),""))</f>
        <v/>
      </c>
      <c r="O55" s="6" t="str">
        <f>IF($B55="","",IFERROR(INDEX('Типы элементов'!$O:$O,MATCH($B55,'Типы элементов'!$B:$B,0)),""))</f>
        <v/>
      </c>
      <c r="P55" s="6" t="str">
        <f>IF($B55="","",IFERROR(INDEX('Типы элементов'!$P:$P,MATCH($B55,'Типы элементов'!$B:$B,0)),""))</f>
        <v/>
      </c>
    </row>
    <row r="56" spans="1:16">
      <c r="A56" s="6">
        <v>55</v>
      </c>
      <c r="B56" s="6"/>
      <c r="C56" s="9" t="str">
        <f>IF($B56="","",IFERROR(VLOOKUP($B56,'Типы элементов'!$A$2:$J$15,2,FALSE),""))</f>
        <v/>
      </c>
      <c r="D56" s="9" t="str">
        <f>IF($B56="","",IFERROR(VLOOKUP($B56,'Типы элементов'!$A$2:$J$15,3,FALSE),""))</f>
        <v/>
      </c>
      <c r="E56" s="9" t="str">
        <f>IF($B56="","",IFERROR(VLOOKUP($B56,'Типы элементов'!$A$2:$J$15,4,FALSE),""))</f>
        <v/>
      </c>
      <c r="F56" s="9" t="str">
        <f>IF($B56="","",IFERROR(VLOOKUP($B56,'Типы элементов'!$A$2:$J$15,5,FALSE),""))</f>
        <v/>
      </c>
      <c r="G56" s="9" t="str">
        <f>IF($B56="","",IFERROR(VLOOKUP($B56,'Типы элементов'!$A$2:$J$15,6,FALSE),""))</f>
        <v/>
      </c>
      <c r="H56" s="9" t="str">
        <f>IF($B56="","",IFERROR(VLOOKUP($B56,'Типы элементов'!$A$2:$J$15,7,FALSE),""))</f>
        <v/>
      </c>
      <c r="I56" s="9" t="str">
        <f>IF($B56="","",IFERROR(VLOOKUP($B56,'Типы элементов'!$A$2:$J$15,8,FALSE),""))</f>
        <v/>
      </c>
      <c r="J56" s="9" t="str">
        <f>IF($B56="","",IFERROR(VLOOKUP($B56,'Типы элементов'!$A$2:$J$15,9,FALSE),""))</f>
        <v/>
      </c>
      <c r="K56" s="10" t="str">
        <f>IF($B56="","",IFERROR(VLOOKUP($B56,'Типы элементов'!$A$2:$J$15,10,FALSE),""))</f>
        <v/>
      </c>
      <c r="L56" s="6" t="str">
        <f>IF($B56="","",IFERROR(INDEX('Типы элементов'!$L:$L,MATCH($B56,'Типы элементов'!$B:$B,0)),""))</f>
        <v/>
      </c>
      <c r="M56" s="6" t="str">
        <f>IF($B56="","",IFERROR(INDEX('Типы элементов'!$M:$M,MATCH($B56,'Типы элементов'!$B:$B,0)),""))</f>
        <v/>
      </c>
      <c r="N56" s="6" t="str">
        <f>IF($B56="","",IFERROR(INDEX('Типы элементов'!$N:$N,MATCH($B56,'Типы элементов'!$B:$B,0)),""))</f>
        <v/>
      </c>
      <c r="O56" s="6" t="str">
        <f>IF($B56="","",IFERROR(INDEX('Типы элементов'!$O:$O,MATCH($B56,'Типы элементов'!$B:$B,0)),""))</f>
        <v/>
      </c>
      <c r="P56" s="6" t="str">
        <f>IF($B56="","",IFERROR(INDEX('Типы элементов'!$P:$P,MATCH($B56,'Типы элементов'!$B:$B,0)),""))</f>
        <v/>
      </c>
    </row>
    <row r="57" spans="1:16">
      <c r="A57" s="6">
        <v>56</v>
      </c>
      <c r="B57" s="6"/>
      <c r="C57" s="9" t="str">
        <f>IF($B57="","",IFERROR(VLOOKUP($B57,'Типы элементов'!$A$2:$J$15,2,FALSE),""))</f>
        <v/>
      </c>
      <c r="D57" s="9" t="str">
        <f>IF($B57="","",IFERROR(VLOOKUP($B57,'Типы элементов'!$A$2:$J$15,3,FALSE),""))</f>
        <v/>
      </c>
      <c r="E57" s="9" t="str">
        <f>IF($B57="","",IFERROR(VLOOKUP($B57,'Типы элементов'!$A$2:$J$15,4,FALSE),""))</f>
        <v/>
      </c>
      <c r="F57" s="9" t="str">
        <f>IF($B57="","",IFERROR(VLOOKUP($B57,'Типы элементов'!$A$2:$J$15,5,FALSE),""))</f>
        <v/>
      </c>
      <c r="G57" s="9" t="str">
        <f>IF($B57="","",IFERROR(VLOOKUP($B57,'Типы элементов'!$A$2:$J$15,6,FALSE),""))</f>
        <v/>
      </c>
      <c r="H57" s="9" t="str">
        <f>IF($B57="","",IFERROR(VLOOKUP($B57,'Типы элементов'!$A$2:$J$15,7,FALSE),""))</f>
        <v/>
      </c>
      <c r="I57" s="9" t="str">
        <f>IF($B57="","",IFERROR(VLOOKUP($B57,'Типы элементов'!$A$2:$J$15,8,FALSE),""))</f>
        <v/>
      </c>
      <c r="J57" s="9" t="str">
        <f>IF($B57="","",IFERROR(VLOOKUP($B57,'Типы элементов'!$A$2:$J$15,9,FALSE),""))</f>
        <v/>
      </c>
      <c r="K57" s="10" t="str">
        <f>IF($B57="","",IFERROR(VLOOKUP($B57,'Типы элементов'!$A$2:$J$15,10,FALSE),""))</f>
        <v/>
      </c>
      <c r="L57" s="6" t="str">
        <f>IF($B57="","",IFERROR(INDEX('Типы элементов'!$L:$L,MATCH($B57,'Типы элементов'!$B:$B,0)),""))</f>
        <v/>
      </c>
      <c r="M57" s="6" t="str">
        <f>IF($B57="","",IFERROR(INDEX('Типы элементов'!$M:$M,MATCH($B57,'Типы элементов'!$B:$B,0)),""))</f>
        <v/>
      </c>
      <c r="N57" s="6" t="str">
        <f>IF($B57="","",IFERROR(INDEX('Типы элементов'!$N:$N,MATCH($B57,'Типы элементов'!$B:$B,0)),""))</f>
        <v/>
      </c>
      <c r="O57" s="6" t="str">
        <f>IF($B57="","",IFERROR(INDEX('Типы элементов'!$O:$O,MATCH($B57,'Типы элементов'!$B:$B,0)),""))</f>
        <v/>
      </c>
      <c r="P57" s="6" t="str">
        <f>IF($B57="","",IFERROR(INDEX('Типы элементов'!$P:$P,MATCH($B57,'Типы элементов'!$B:$B,0)),""))</f>
        <v/>
      </c>
    </row>
    <row r="58" spans="1:16">
      <c r="A58" s="6">
        <v>57</v>
      </c>
      <c r="B58" s="6"/>
      <c r="C58" s="9" t="str">
        <f>IF($B58="","",IFERROR(VLOOKUP($B58,'Типы элементов'!$A$2:$J$15,2,FALSE),""))</f>
        <v/>
      </c>
      <c r="D58" s="9" t="str">
        <f>IF($B58="","",IFERROR(VLOOKUP($B58,'Типы элементов'!$A$2:$J$15,3,FALSE),""))</f>
        <v/>
      </c>
      <c r="E58" s="9" t="str">
        <f>IF($B58="","",IFERROR(VLOOKUP($B58,'Типы элементов'!$A$2:$J$15,4,FALSE),""))</f>
        <v/>
      </c>
      <c r="F58" s="9" t="str">
        <f>IF($B58="","",IFERROR(VLOOKUP($B58,'Типы элементов'!$A$2:$J$15,5,FALSE),""))</f>
        <v/>
      </c>
      <c r="G58" s="9" t="str">
        <f>IF($B58="","",IFERROR(VLOOKUP($B58,'Типы элементов'!$A$2:$J$15,6,FALSE),""))</f>
        <v/>
      </c>
      <c r="H58" s="9" t="str">
        <f>IF($B58="","",IFERROR(VLOOKUP($B58,'Типы элементов'!$A$2:$J$15,7,FALSE),""))</f>
        <v/>
      </c>
      <c r="I58" s="9" t="str">
        <f>IF($B58="","",IFERROR(VLOOKUP($B58,'Типы элементов'!$A$2:$J$15,8,FALSE),""))</f>
        <v/>
      </c>
      <c r="J58" s="9" t="str">
        <f>IF($B58="","",IFERROR(VLOOKUP($B58,'Типы элементов'!$A$2:$J$15,9,FALSE),""))</f>
        <v/>
      </c>
      <c r="K58" s="10" t="str">
        <f>IF($B58="","",IFERROR(VLOOKUP($B58,'Типы элементов'!$A$2:$J$15,10,FALSE),""))</f>
        <v/>
      </c>
      <c r="L58" s="6" t="str">
        <f>IF($B58="","",IFERROR(INDEX('Типы элементов'!$L:$L,MATCH($B58,'Типы элементов'!$B:$B,0)),""))</f>
        <v/>
      </c>
      <c r="M58" s="6" t="str">
        <f>IF($B58="","",IFERROR(INDEX('Типы элементов'!$M:$M,MATCH($B58,'Типы элементов'!$B:$B,0)),""))</f>
        <v/>
      </c>
      <c r="N58" s="6" t="str">
        <f>IF($B58="","",IFERROR(INDEX('Типы элементов'!$N:$N,MATCH($B58,'Типы элементов'!$B:$B,0)),""))</f>
        <v/>
      </c>
      <c r="O58" s="6" t="str">
        <f>IF($B58="","",IFERROR(INDEX('Типы элементов'!$O:$O,MATCH($B58,'Типы элементов'!$B:$B,0)),""))</f>
        <v/>
      </c>
      <c r="P58" s="6" t="str">
        <f>IF($B58="","",IFERROR(INDEX('Типы элементов'!$P:$P,MATCH($B58,'Типы элементов'!$B:$B,0)),""))</f>
        <v/>
      </c>
    </row>
    <row r="59" spans="1:16">
      <c r="A59" s="6">
        <v>58</v>
      </c>
      <c r="B59" s="6"/>
      <c r="C59" s="9" t="str">
        <f>IF($B59="","",IFERROR(VLOOKUP($B59,'Типы элементов'!$A$2:$J$15,2,FALSE),""))</f>
        <v/>
      </c>
      <c r="D59" s="9" t="str">
        <f>IF($B59="","",IFERROR(VLOOKUP($B59,'Типы элементов'!$A$2:$J$15,3,FALSE),""))</f>
        <v/>
      </c>
      <c r="E59" s="9" t="str">
        <f>IF($B59="","",IFERROR(VLOOKUP($B59,'Типы элементов'!$A$2:$J$15,4,FALSE),""))</f>
        <v/>
      </c>
      <c r="F59" s="9" t="str">
        <f>IF($B59="","",IFERROR(VLOOKUP($B59,'Типы элементов'!$A$2:$J$15,5,FALSE),""))</f>
        <v/>
      </c>
      <c r="G59" s="9" t="str">
        <f>IF($B59="","",IFERROR(VLOOKUP($B59,'Типы элементов'!$A$2:$J$15,6,FALSE),""))</f>
        <v/>
      </c>
      <c r="H59" s="9" t="str">
        <f>IF($B59="","",IFERROR(VLOOKUP($B59,'Типы элементов'!$A$2:$J$15,7,FALSE),""))</f>
        <v/>
      </c>
      <c r="I59" s="9" t="str">
        <f>IF($B59="","",IFERROR(VLOOKUP($B59,'Типы элементов'!$A$2:$J$15,8,FALSE),""))</f>
        <v/>
      </c>
      <c r="J59" s="9" t="str">
        <f>IF($B59="","",IFERROR(VLOOKUP($B59,'Типы элементов'!$A$2:$J$15,9,FALSE),""))</f>
        <v/>
      </c>
      <c r="K59" s="10" t="str">
        <f>IF($B59="","",IFERROR(VLOOKUP($B59,'Типы элементов'!$A$2:$J$15,10,FALSE),""))</f>
        <v/>
      </c>
      <c r="L59" s="6" t="str">
        <f>IF($B59="","",IFERROR(INDEX('Типы элементов'!$L:$L,MATCH($B59,'Типы элементов'!$B:$B,0)),""))</f>
        <v/>
      </c>
      <c r="M59" s="6" t="str">
        <f>IF($B59="","",IFERROR(INDEX('Типы элементов'!$M:$M,MATCH($B59,'Типы элементов'!$B:$B,0)),""))</f>
        <v/>
      </c>
      <c r="N59" s="6" t="str">
        <f>IF($B59="","",IFERROR(INDEX('Типы элементов'!$N:$N,MATCH($B59,'Типы элементов'!$B:$B,0)),""))</f>
        <v/>
      </c>
      <c r="O59" s="6" t="str">
        <f>IF($B59="","",IFERROR(INDEX('Типы элементов'!$O:$O,MATCH($B59,'Типы элементов'!$B:$B,0)),""))</f>
        <v/>
      </c>
      <c r="P59" s="6" t="str">
        <f>IF($B59="","",IFERROR(INDEX('Типы элементов'!$P:$P,MATCH($B59,'Типы элементов'!$B:$B,0)),""))</f>
        <v/>
      </c>
    </row>
    <row r="60" spans="1:16">
      <c r="A60" s="6">
        <v>59</v>
      </c>
      <c r="B60" s="6"/>
      <c r="C60" s="9" t="str">
        <f>IF($B60="","",IFERROR(VLOOKUP($B60,'Типы элементов'!$A$2:$J$15,2,FALSE),""))</f>
        <v/>
      </c>
      <c r="D60" s="9" t="str">
        <f>IF($B60="","",IFERROR(VLOOKUP($B60,'Типы элементов'!$A$2:$J$15,3,FALSE),""))</f>
        <v/>
      </c>
      <c r="E60" s="9" t="str">
        <f>IF($B60="","",IFERROR(VLOOKUP($B60,'Типы элементов'!$A$2:$J$15,4,FALSE),""))</f>
        <v/>
      </c>
      <c r="F60" s="9" t="str">
        <f>IF($B60="","",IFERROR(VLOOKUP($B60,'Типы элементов'!$A$2:$J$15,5,FALSE),""))</f>
        <v/>
      </c>
      <c r="G60" s="9" t="str">
        <f>IF($B60="","",IFERROR(VLOOKUP($B60,'Типы элементов'!$A$2:$J$15,6,FALSE),""))</f>
        <v/>
      </c>
      <c r="H60" s="9" t="str">
        <f>IF($B60="","",IFERROR(VLOOKUP($B60,'Типы элементов'!$A$2:$J$15,7,FALSE),""))</f>
        <v/>
      </c>
      <c r="I60" s="9" t="str">
        <f>IF($B60="","",IFERROR(VLOOKUP($B60,'Типы элементов'!$A$2:$J$15,8,FALSE),""))</f>
        <v/>
      </c>
      <c r="J60" s="9" t="str">
        <f>IF($B60="","",IFERROR(VLOOKUP($B60,'Типы элементов'!$A$2:$J$15,9,FALSE),""))</f>
        <v/>
      </c>
      <c r="K60" s="10" t="str">
        <f>IF($B60="","",IFERROR(VLOOKUP($B60,'Типы элементов'!$A$2:$J$15,10,FALSE),""))</f>
        <v/>
      </c>
      <c r="L60" s="6" t="str">
        <f>IF($B60="","",IFERROR(INDEX('Типы элементов'!$L:$L,MATCH($B60,'Типы элементов'!$B:$B,0)),""))</f>
        <v/>
      </c>
      <c r="M60" s="6" t="str">
        <f>IF($B60="","",IFERROR(INDEX('Типы элементов'!$M:$M,MATCH($B60,'Типы элементов'!$B:$B,0)),""))</f>
        <v/>
      </c>
      <c r="N60" s="6" t="str">
        <f>IF($B60="","",IFERROR(INDEX('Типы элементов'!$N:$N,MATCH($B60,'Типы элементов'!$B:$B,0)),""))</f>
        <v/>
      </c>
      <c r="O60" s="6" t="str">
        <f>IF($B60="","",IFERROR(INDEX('Типы элементов'!$O:$O,MATCH($B60,'Типы элементов'!$B:$B,0)),""))</f>
        <v/>
      </c>
      <c r="P60" s="6" t="str">
        <f>IF($B60="","",IFERROR(INDEX('Типы элементов'!$P:$P,MATCH($B60,'Типы элементов'!$B:$B,0)),""))</f>
        <v/>
      </c>
    </row>
    <row r="61" spans="1:16">
      <c r="A61" s="6">
        <v>60</v>
      </c>
      <c r="B61" s="6"/>
      <c r="C61" s="9" t="str">
        <f>IF($B61="","",IFERROR(VLOOKUP($B61,'Типы элементов'!$A$2:$J$15,2,FALSE),""))</f>
        <v/>
      </c>
      <c r="D61" s="9" t="str">
        <f>IF($B61="","",IFERROR(VLOOKUP($B61,'Типы элементов'!$A$2:$J$15,3,FALSE),""))</f>
        <v/>
      </c>
      <c r="E61" s="9" t="str">
        <f>IF($B61="","",IFERROR(VLOOKUP($B61,'Типы элементов'!$A$2:$J$15,4,FALSE),""))</f>
        <v/>
      </c>
      <c r="F61" s="9" t="str">
        <f>IF($B61="","",IFERROR(VLOOKUP($B61,'Типы элементов'!$A$2:$J$15,5,FALSE),""))</f>
        <v/>
      </c>
      <c r="G61" s="9" t="str">
        <f>IF($B61="","",IFERROR(VLOOKUP($B61,'Типы элементов'!$A$2:$J$15,6,FALSE),""))</f>
        <v/>
      </c>
      <c r="H61" s="9" t="str">
        <f>IF($B61="","",IFERROR(VLOOKUP($B61,'Типы элементов'!$A$2:$J$15,7,FALSE),""))</f>
        <v/>
      </c>
      <c r="I61" s="9" t="str">
        <f>IF($B61="","",IFERROR(VLOOKUP($B61,'Типы элементов'!$A$2:$J$15,8,FALSE),""))</f>
        <v/>
      </c>
      <c r="J61" s="9" t="str">
        <f>IF($B61="","",IFERROR(VLOOKUP($B61,'Типы элементов'!$A$2:$J$15,9,FALSE),""))</f>
        <v/>
      </c>
      <c r="K61" s="10" t="str">
        <f>IF($B61="","",IFERROR(VLOOKUP($B61,'Типы элементов'!$A$2:$J$15,10,FALSE),""))</f>
        <v/>
      </c>
      <c r="L61" s="6" t="str">
        <f>IF($B61="","",IFERROR(INDEX('Типы элементов'!$L:$L,MATCH($B61,'Типы элементов'!$B:$B,0)),""))</f>
        <v/>
      </c>
      <c r="M61" s="6" t="str">
        <f>IF($B61="","",IFERROR(INDEX('Типы элементов'!$M:$M,MATCH($B61,'Типы элементов'!$B:$B,0)),""))</f>
        <v/>
      </c>
      <c r="N61" s="6" t="str">
        <f>IF($B61="","",IFERROR(INDEX('Типы элементов'!$N:$N,MATCH($B61,'Типы элементов'!$B:$B,0)),""))</f>
        <v/>
      </c>
      <c r="O61" s="6" t="str">
        <f>IF($B61="","",IFERROR(INDEX('Типы элементов'!$O:$O,MATCH($B61,'Типы элементов'!$B:$B,0)),""))</f>
        <v/>
      </c>
      <c r="P61" s="6" t="str">
        <f>IF($B61="","",IFERROR(INDEX('Типы элементов'!$P:$P,MATCH($B61,'Типы элементов'!$B:$B,0)),""))</f>
        <v/>
      </c>
    </row>
    <row r="62" spans="1:16">
      <c r="A62" s="6">
        <v>61</v>
      </c>
      <c r="B62" s="6"/>
      <c r="C62" s="9" t="str">
        <f>IF($B62="","",IFERROR(VLOOKUP($B62,'Типы элементов'!$A$2:$J$15,2,FALSE),""))</f>
        <v/>
      </c>
      <c r="D62" s="9" t="str">
        <f>IF($B62="","",IFERROR(VLOOKUP($B62,'Типы элементов'!$A$2:$J$15,3,FALSE),""))</f>
        <v/>
      </c>
      <c r="E62" s="9" t="str">
        <f>IF($B62="","",IFERROR(VLOOKUP($B62,'Типы элементов'!$A$2:$J$15,4,FALSE),""))</f>
        <v/>
      </c>
      <c r="F62" s="9" t="str">
        <f>IF($B62="","",IFERROR(VLOOKUP($B62,'Типы элементов'!$A$2:$J$15,5,FALSE),""))</f>
        <v/>
      </c>
      <c r="G62" s="9" t="str">
        <f>IF($B62="","",IFERROR(VLOOKUP($B62,'Типы элементов'!$A$2:$J$15,6,FALSE),""))</f>
        <v/>
      </c>
      <c r="H62" s="9" t="str">
        <f>IF($B62="","",IFERROR(VLOOKUP($B62,'Типы элементов'!$A$2:$J$15,7,FALSE),""))</f>
        <v/>
      </c>
      <c r="I62" s="9" t="str">
        <f>IF($B62="","",IFERROR(VLOOKUP($B62,'Типы элементов'!$A$2:$J$15,8,FALSE),""))</f>
        <v/>
      </c>
      <c r="J62" s="9" t="str">
        <f>IF($B62="","",IFERROR(VLOOKUP($B62,'Типы элементов'!$A$2:$J$15,9,FALSE),""))</f>
        <v/>
      </c>
      <c r="K62" s="10" t="str">
        <f>IF($B62="","",IFERROR(VLOOKUP($B62,'Типы элементов'!$A$2:$J$15,10,FALSE),""))</f>
        <v/>
      </c>
      <c r="L62" s="6" t="str">
        <f>IF($B62="","",IFERROR(INDEX('Типы элементов'!$L:$L,MATCH($B62,'Типы элементов'!$B:$B,0)),""))</f>
        <v/>
      </c>
      <c r="M62" s="6" t="str">
        <f>IF($B62="","",IFERROR(INDEX('Типы элементов'!$M:$M,MATCH($B62,'Типы элементов'!$B:$B,0)),""))</f>
        <v/>
      </c>
      <c r="N62" s="6" t="str">
        <f>IF($B62="","",IFERROR(INDEX('Типы элементов'!$N:$N,MATCH($B62,'Типы элементов'!$B:$B,0)),""))</f>
        <v/>
      </c>
      <c r="O62" s="6" t="str">
        <f>IF($B62="","",IFERROR(INDEX('Типы элементов'!$O:$O,MATCH($B62,'Типы элементов'!$B:$B,0)),""))</f>
        <v/>
      </c>
      <c r="P62" s="6" t="str">
        <f>IF($B62="","",IFERROR(INDEX('Типы элементов'!$P:$P,MATCH($B62,'Типы элементов'!$B:$B,0)),""))</f>
        <v/>
      </c>
    </row>
    <row r="63" spans="1:16">
      <c r="A63" s="6">
        <v>62</v>
      </c>
      <c r="B63" s="6"/>
      <c r="C63" s="9" t="str">
        <f>IF($B63="","",IFERROR(VLOOKUP($B63,'Типы элементов'!$A$2:$J$15,2,FALSE),""))</f>
        <v/>
      </c>
      <c r="D63" s="9" t="str">
        <f>IF($B63="","",IFERROR(VLOOKUP($B63,'Типы элементов'!$A$2:$J$15,3,FALSE),""))</f>
        <v/>
      </c>
      <c r="E63" s="9" t="str">
        <f>IF($B63="","",IFERROR(VLOOKUP($B63,'Типы элементов'!$A$2:$J$15,4,FALSE),""))</f>
        <v/>
      </c>
      <c r="F63" s="9" t="str">
        <f>IF($B63="","",IFERROR(VLOOKUP($B63,'Типы элементов'!$A$2:$J$15,5,FALSE),""))</f>
        <v/>
      </c>
      <c r="G63" s="9" t="str">
        <f>IF($B63="","",IFERROR(VLOOKUP($B63,'Типы элементов'!$A$2:$J$15,6,FALSE),""))</f>
        <v/>
      </c>
      <c r="H63" s="9" t="str">
        <f>IF($B63="","",IFERROR(VLOOKUP($B63,'Типы элементов'!$A$2:$J$15,7,FALSE),""))</f>
        <v/>
      </c>
      <c r="I63" s="9" t="str">
        <f>IF($B63="","",IFERROR(VLOOKUP($B63,'Типы элементов'!$A$2:$J$15,8,FALSE),""))</f>
        <v/>
      </c>
      <c r="J63" s="9" t="str">
        <f>IF($B63="","",IFERROR(VLOOKUP($B63,'Типы элементов'!$A$2:$J$15,9,FALSE),""))</f>
        <v/>
      </c>
      <c r="K63" s="10" t="str">
        <f>IF($B63="","",IFERROR(VLOOKUP($B63,'Типы элементов'!$A$2:$J$15,10,FALSE),""))</f>
        <v/>
      </c>
      <c r="L63" s="6" t="str">
        <f>IF($B63="","",IFERROR(INDEX('Типы элементов'!$L:$L,MATCH($B63,'Типы элементов'!$B:$B,0)),""))</f>
        <v/>
      </c>
      <c r="M63" s="6" t="str">
        <f>IF($B63="","",IFERROR(INDEX('Типы элементов'!$M:$M,MATCH($B63,'Типы элементов'!$B:$B,0)),""))</f>
        <v/>
      </c>
      <c r="N63" s="6" t="str">
        <f>IF($B63="","",IFERROR(INDEX('Типы элементов'!$N:$N,MATCH($B63,'Типы элементов'!$B:$B,0)),""))</f>
        <v/>
      </c>
      <c r="O63" s="6" t="str">
        <f>IF($B63="","",IFERROR(INDEX('Типы элементов'!$O:$O,MATCH($B63,'Типы элементов'!$B:$B,0)),""))</f>
        <v/>
      </c>
      <c r="P63" s="6" t="str">
        <f>IF($B63="","",IFERROR(INDEX('Типы элементов'!$P:$P,MATCH($B63,'Типы элементов'!$B:$B,0)),""))</f>
        <v/>
      </c>
    </row>
    <row r="64" spans="1:16">
      <c r="A64" s="6">
        <v>63</v>
      </c>
      <c r="B64" s="6"/>
      <c r="C64" s="9" t="str">
        <f>IF($B64="","",IFERROR(VLOOKUP($B64,'Типы элементов'!$A$2:$J$15,2,FALSE),""))</f>
        <v/>
      </c>
      <c r="D64" s="9" t="str">
        <f>IF($B64="","",IFERROR(VLOOKUP($B64,'Типы элементов'!$A$2:$J$15,3,FALSE),""))</f>
        <v/>
      </c>
      <c r="E64" s="9" t="str">
        <f>IF($B64="","",IFERROR(VLOOKUP($B64,'Типы элементов'!$A$2:$J$15,4,FALSE),""))</f>
        <v/>
      </c>
      <c r="F64" s="9" t="str">
        <f>IF($B64="","",IFERROR(VLOOKUP($B64,'Типы элементов'!$A$2:$J$15,5,FALSE),""))</f>
        <v/>
      </c>
      <c r="G64" s="9" t="str">
        <f>IF($B64="","",IFERROR(VLOOKUP($B64,'Типы элементов'!$A$2:$J$15,6,FALSE),""))</f>
        <v/>
      </c>
      <c r="H64" s="9" t="str">
        <f>IF($B64="","",IFERROR(VLOOKUP($B64,'Типы элементов'!$A$2:$J$15,7,FALSE),""))</f>
        <v/>
      </c>
      <c r="I64" s="9" t="str">
        <f>IF($B64="","",IFERROR(VLOOKUP($B64,'Типы элементов'!$A$2:$J$15,8,FALSE),""))</f>
        <v/>
      </c>
      <c r="J64" s="9" t="str">
        <f>IF($B64="","",IFERROR(VLOOKUP($B64,'Типы элементов'!$A$2:$J$15,9,FALSE),""))</f>
        <v/>
      </c>
      <c r="K64" s="10" t="str">
        <f>IF($B64="","",IFERROR(VLOOKUP($B64,'Типы элементов'!$A$2:$J$15,10,FALSE),""))</f>
        <v/>
      </c>
      <c r="L64" s="6" t="str">
        <f>IF($B64="","",IFERROR(INDEX('Типы элементов'!$L:$L,MATCH($B64,'Типы элементов'!$B:$B,0)),""))</f>
        <v/>
      </c>
      <c r="M64" s="6" t="str">
        <f>IF($B64="","",IFERROR(INDEX('Типы элементов'!$M:$M,MATCH($B64,'Типы элементов'!$B:$B,0)),""))</f>
        <v/>
      </c>
      <c r="N64" s="6" t="str">
        <f>IF($B64="","",IFERROR(INDEX('Типы элементов'!$N:$N,MATCH($B64,'Типы элементов'!$B:$B,0)),""))</f>
        <v/>
      </c>
      <c r="O64" s="6" t="str">
        <f>IF($B64="","",IFERROR(INDEX('Типы элементов'!$O:$O,MATCH($B64,'Типы элементов'!$B:$B,0)),""))</f>
        <v/>
      </c>
      <c r="P64" s="6" t="str">
        <f>IF($B64="","",IFERROR(INDEX('Типы элементов'!$P:$P,MATCH($B64,'Типы элементов'!$B:$B,0)),""))</f>
        <v/>
      </c>
    </row>
    <row r="65" spans="1:16">
      <c r="A65" s="6">
        <v>64</v>
      </c>
      <c r="B65" s="6"/>
      <c r="C65" s="9" t="str">
        <f>IF($B65="","",IFERROR(VLOOKUP($B65,'Типы элементов'!$A$2:$J$15,2,FALSE),""))</f>
        <v/>
      </c>
      <c r="D65" s="9" t="str">
        <f>IF($B65="","",IFERROR(VLOOKUP($B65,'Типы элементов'!$A$2:$J$15,3,FALSE),""))</f>
        <v/>
      </c>
      <c r="E65" s="9" t="str">
        <f>IF($B65="","",IFERROR(VLOOKUP($B65,'Типы элементов'!$A$2:$J$15,4,FALSE),""))</f>
        <v/>
      </c>
      <c r="F65" s="9" t="str">
        <f>IF($B65="","",IFERROR(VLOOKUP($B65,'Типы элементов'!$A$2:$J$15,5,FALSE),""))</f>
        <v/>
      </c>
      <c r="G65" s="9" t="str">
        <f>IF($B65="","",IFERROR(VLOOKUP($B65,'Типы элементов'!$A$2:$J$15,6,FALSE),""))</f>
        <v/>
      </c>
      <c r="H65" s="9" t="str">
        <f>IF($B65="","",IFERROR(VLOOKUP($B65,'Типы элементов'!$A$2:$J$15,7,FALSE),""))</f>
        <v/>
      </c>
      <c r="I65" s="9" t="str">
        <f>IF($B65="","",IFERROR(VLOOKUP($B65,'Типы элементов'!$A$2:$J$15,8,FALSE),""))</f>
        <v/>
      </c>
      <c r="J65" s="9" t="str">
        <f>IF($B65="","",IFERROR(VLOOKUP($B65,'Типы элементов'!$A$2:$J$15,9,FALSE),""))</f>
        <v/>
      </c>
      <c r="K65" s="10" t="str">
        <f>IF($B65="","",IFERROR(VLOOKUP($B65,'Типы элементов'!$A$2:$J$15,10,FALSE),""))</f>
        <v/>
      </c>
      <c r="L65" s="6" t="str">
        <f>IF($B65="","",IFERROR(INDEX('Типы элементов'!$L:$L,MATCH($B65,'Типы элементов'!$B:$B,0)),""))</f>
        <v/>
      </c>
      <c r="M65" s="6" t="str">
        <f>IF($B65="","",IFERROR(INDEX('Типы элементов'!$M:$M,MATCH($B65,'Типы элементов'!$B:$B,0)),""))</f>
        <v/>
      </c>
      <c r="N65" s="6" t="str">
        <f>IF($B65="","",IFERROR(INDEX('Типы элементов'!$N:$N,MATCH($B65,'Типы элементов'!$B:$B,0)),""))</f>
        <v/>
      </c>
      <c r="O65" s="6" t="str">
        <f>IF($B65="","",IFERROR(INDEX('Типы элементов'!$O:$O,MATCH($B65,'Типы элементов'!$B:$B,0)),""))</f>
        <v/>
      </c>
      <c r="P65" s="6" t="str">
        <f>IF($B65="","",IFERROR(INDEX('Типы элементов'!$P:$P,MATCH($B65,'Типы элементов'!$B:$B,0)),""))</f>
        <v/>
      </c>
    </row>
    <row r="66" spans="1:16">
      <c r="A66" s="6">
        <v>65</v>
      </c>
      <c r="B66" s="6"/>
      <c r="C66" s="9" t="str">
        <f>IF($B66="","",IFERROR(VLOOKUP($B66,'Типы элементов'!$A$2:$J$15,2,FALSE),""))</f>
        <v/>
      </c>
      <c r="D66" s="9" t="str">
        <f>IF($B66="","",IFERROR(VLOOKUP($B66,'Типы элементов'!$A$2:$J$15,3,FALSE),""))</f>
        <v/>
      </c>
      <c r="E66" s="9" t="str">
        <f>IF($B66="","",IFERROR(VLOOKUP($B66,'Типы элементов'!$A$2:$J$15,4,FALSE),""))</f>
        <v/>
      </c>
      <c r="F66" s="9" t="str">
        <f>IF($B66="","",IFERROR(VLOOKUP($B66,'Типы элементов'!$A$2:$J$15,5,FALSE),""))</f>
        <v/>
      </c>
      <c r="G66" s="9" t="str">
        <f>IF($B66="","",IFERROR(VLOOKUP($B66,'Типы элементов'!$A$2:$J$15,6,FALSE),""))</f>
        <v/>
      </c>
      <c r="H66" s="9" t="str">
        <f>IF($B66="","",IFERROR(VLOOKUP($B66,'Типы элементов'!$A$2:$J$15,7,FALSE),""))</f>
        <v/>
      </c>
      <c r="I66" s="9" t="str">
        <f>IF($B66="","",IFERROR(VLOOKUP($B66,'Типы элементов'!$A$2:$J$15,8,FALSE),""))</f>
        <v/>
      </c>
      <c r="J66" s="9" t="str">
        <f>IF($B66="","",IFERROR(VLOOKUP($B66,'Типы элементов'!$A$2:$J$15,9,FALSE),""))</f>
        <v/>
      </c>
      <c r="K66" s="10" t="str">
        <f>IF($B66="","",IFERROR(VLOOKUP($B66,'Типы элементов'!$A$2:$J$15,10,FALSE),""))</f>
        <v/>
      </c>
      <c r="L66" s="6" t="str">
        <f>IF($B66="","",IFERROR(INDEX('Типы элементов'!$L:$L,MATCH($B66,'Типы элементов'!$B:$B,0)),""))</f>
        <v/>
      </c>
      <c r="M66" s="6" t="str">
        <f>IF($B66="","",IFERROR(INDEX('Типы элементов'!$M:$M,MATCH($B66,'Типы элементов'!$B:$B,0)),""))</f>
        <v/>
      </c>
      <c r="N66" s="6" t="str">
        <f>IF($B66="","",IFERROR(INDEX('Типы элементов'!$N:$N,MATCH($B66,'Типы элементов'!$B:$B,0)),""))</f>
        <v/>
      </c>
      <c r="O66" s="6" t="str">
        <f>IF($B66="","",IFERROR(INDEX('Типы элементов'!$O:$O,MATCH($B66,'Типы элементов'!$B:$B,0)),""))</f>
        <v/>
      </c>
      <c r="P66" s="6" t="str">
        <f>IF($B66="","",IFERROR(INDEX('Типы элементов'!$P:$P,MATCH($B66,'Типы элементов'!$B:$B,0)),""))</f>
        <v/>
      </c>
    </row>
    <row r="67" spans="1:16">
      <c r="A67" s="6">
        <v>66</v>
      </c>
      <c r="B67" s="6"/>
      <c r="C67" s="9" t="str">
        <f>IF($B67="","",IFERROR(VLOOKUP($B67,'Типы элементов'!$A$2:$J$15,2,FALSE),""))</f>
        <v/>
      </c>
      <c r="D67" s="9" t="str">
        <f>IF($B67="","",IFERROR(VLOOKUP($B67,'Типы элементов'!$A$2:$J$15,3,FALSE),""))</f>
        <v/>
      </c>
      <c r="E67" s="9" t="str">
        <f>IF($B67="","",IFERROR(VLOOKUP($B67,'Типы элементов'!$A$2:$J$15,4,FALSE),""))</f>
        <v/>
      </c>
      <c r="F67" s="9" t="str">
        <f>IF($B67="","",IFERROR(VLOOKUP($B67,'Типы элементов'!$A$2:$J$15,5,FALSE),""))</f>
        <v/>
      </c>
      <c r="G67" s="9" t="str">
        <f>IF($B67="","",IFERROR(VLOOKUP($B67,'Типы элементов'!$A$2:$J$15,6,FALSE),""))</f>
        <v/>
      </c>
      <c r="H67" s="9" t="str">
        <f>IF($B67="","",IFERROR(VLOOKUP($B67,'Типы элементов'!$A$2:$J$15,7,FALSE),""))</f>
        <v/>
      </c>
      <c r="I67" s="9" t="str">
        <f>IF($B67="","",IFERROR(VLOOKUP($B67,'Типы элементов'!$A$2:$J$15,8,FALSE),""))</f>
        <v/>
      </c>
      <c r="J67" s="9" t="str">
        <f>IF($B67="","",IFERROR(VLOOKUP($B67,'Типы элементов'!$A$2:$J$15,9,FALSE),""))</f>
        <v/>
      </c>
      <c r="K67" s="10" t="str">
        <f>IF($B67="","",IFERROR(VLOOKUP($B67,'Типы элементов'!$A$2:$J$15,10,FALSE),""))</f>
        <v/>
      </c>
      <c r="L67" s="6" t="str">
        <f>IF($B67="","",IFERROR(INDEX('Типы элементов'!$L:$L,MATCH($B67,'Типы элементов'!$B:$B,0)),""))</f>
        <v/>
      </c>
      <c r="M67" s="6" t="str">
        <f>IF($B67="","",IFERROR(INDEX('Типы элементов'!$M:$M,MATCH($B67,'Типы элементов'!$B:$B,0)),""))</f>
        <v/>
      </c>
      <c r="N67" s="6" t="str">
        <f>IF($B67="","",IFERROR(INDEX('Типы элементов'!$N:$N,MATCH($B67,'Типы элементов'!$B:$B,0)),""))</f>
        <v/>
      </c>
      <c r="O67" s="6" t="str">
        <f>IF($B67="","",IFERROR(INDEX('Типы элементов'!$O:$O,MATCH($B67,'Типы элементов'!$B:$B,0)),""))</f>
        <v/>
      </c>
      <c r="P67" s="6" t="str">
        <f>IF($B67="","",IFERROR(INDEX('Типы элементов'!$P:$P,MATCH($B67,'Типы элементов'!$B:$B,0)),""))</f>
        <v/>
      </c>
    </row>
    <row r="68" spans="1:16">
      <c r="A68" s="6">
        <v>67</v>
      </c>
      <c r="B68" s="6"/>
      <c r="C68" s="9" t="str">
        <f>IF($B68="","",IFERROR(VLOOKUP($B68,'Типы элементов'!$A$2:$J$15,2,FALSE),""))</f>
        <v/>
      </c>
      <c r="D68" s="9" t="str">
        <f>IF($B68="","",IFERROR(VLOOKUP($B68,'Типы элементов'!$A$2:$J$15,3,FALSE),""))</f>
        <v/>
      </c>
      <c r="E68" s="9" t="str">
        <f>IF($B68="","",IFERROR(VLOOKUP($B68,'Типы элементов'!$A$2:$J$15,4,FALSE),""))</f>
        <v/>
      </c>
      <c r="F68" s="9" t="str">
        <f>IF($B68="","",IFERROR(VLOOKUP($B68,'Типы элементов'!$A$2:$J$15,5,FALSE),""))</f>
        <v/>
      </c>
      <c r="G68" s="9" t="str">
        <f>IF($B68="","",IFERROR(VLOOKUP($B68,'Типы элементов'!$A$2:$J$15,6,FALSE),""))</f>
        <v/>
      </c>
      <c r="H68" s="9" t="str">
        <f>IF($B68="","",IFERROR(VLOOKUP($B68,'Типы элементов'!$A$2:$J$15,7,FALSE),""))</f>
        <v/>
      </c>
      <c r="I68" s="9" t="str">
        <f>IF($B68="","",IFERROR(VLOOKUP($B68,'Типы элементов'!$A$2:$J$15,8,FALSE),""))</f>
        <v/>
      </c>
      <c r="J68" s="9" t="str">
        <f>IF($B68="","",IFERROR(VLOOKUP($B68,'Типы элементов'!$A$2:$J$15,9,FALSE),""))</f>
        <v/>
      </c>
      <c r="K68" s="10" t="str">
        <f>IF($B68="","",IFERROR(VLOOKUP($B68,'Типы элементов'!$A$2:$J$15,10,FALSE),""))</f>
        <v/>
      </c>
      <c r="L68" s="6" t="str">
        <f>IF($B68="","",IFERROR(INDEX('Типы элементов'!$L:$L,MATCH($B68,'Типы элементов'!$B:$B,0)),""))</f>
        <v/>
      </c>
      <c r="M68" s="6" t="str">
        <f>IF($B68="","",IFERROR(INDEX('Типы элементов'!$M:$M,MATCH($B68,'Типы элементов'!$B:$B,0)),""))</f>
        <v/>
      </c>
      <c r="N68" s="6" t="str">
        <f>IF($B68="","",IFERROR(INDEX('Типы элементов'!$N:$N,MATCH($B68,'Типы элементов'!$B:$B,0)),""))</f>
        <v/>
      </c>
      <c r="O68" s="6" t="str">
        <f>IF($B68="","",IFERROR(INDEX('Типы элементов'!$O:$O,MATCH($B68,'Типы элементов'!$B:$B,0)),""))</f>
        <v/>
      </c>
      <c r="P68" s="6" t="str">
        <f>IF($B68="","",IFERROR(INDEX('Типы элементов'!$P:$P,MATCH($B68,'Типы элементов'!$B:$B,0)),""))</f>
        <v/>
      </c>
    </row>
    <row r="69" spans="1:16">
      <c r="A69" s="6">
        <v>68</v>
      </c>
      <c r="B69" s="6"/>
      <c r="C69" s="9" t="str">
        <f>IF($B69="","",IFERROR(VLOOKUP($B69,'Типы элементов'!$A$2:$J$15,2,FALSE),""))</f>
        <v/>
      </c>
      <c r="D69" s="9" t="str">
        <f>IF($B69="","",IFERROR(VLOOKUP($B69,'Типы элементов'!$A$2:$J$15,3,FALSE),""))</f>
        <v/>
      </c>
      <c r="E69" s="9" t="str">
        <f>IF($B69="","",IFERROR(VLOOKUP($B69,'Типы элементов'!$A$2:$J$15,4,FALSE),""))</f>
        <v/>
      </c>
      <c r="F69" s="9" t="str">
        <f>IF($B69="","",IFERROR(VLOOKUP($B69,'Типы элементов'!$A$2:$J$15,5,FALSE),""))</f>
        <v/>
      </c>
      <c r="G69" s="9" t="str">
        <f>IF($B69="","",IFERROR(VLOOKUP($B69,'Типы элементов'!$A$2:$J$15,6,FALSE),""))</f>
        <v/>
      </c>
      <c r="H69" s="9" t="str">
        <f>IF($B69="","",IFERROR(VLOOKUP($B69,'Типы элементов'!$A$2:$J$15,7,FALSE),""))</f>
        <v/>
      </c>
      <c r="I69" s="9" t="str">
        <f>IF($B69="","",IFERROR(VLOOKUP($B69,'Типы элементов'!$A$2:$J$15,8,FALSE),""))</f>
        <v/>
      </c>
      <c r="J69" s="9" t="str">
        <f>IF($B69="","",IFERROR(VLOOKUP($B69,'Типы элементов'!$A$2:$J$15,9,FALSE),""))</f>
        <v/>
      </c>
      <c r="K69" s="10" t="str">
        <f>IF($B69="","",IFERROR(VLOOKUP($B69,'Типы элементов'!$A$2:$J$15,10,FALSE),""))</f>
        <v/>
      </c>
      <c r="L69" s="6" t="str">
        <f>IF($B69="","",IFERROR(INDEX('Типы элементов'!$L:$L,MATCH($B69,'Типы элементов'!$B:$B,0)),""))</f>
        <v/>
      </c>
      <c r="M69" s="6" t="str">
        <f>IF($B69="","",IFERROR(INDEX('Типы элементов'!$M:$M,MATCH($B69,'Типы элементов'!$B:$B,0)),""))</f>
        <v/>
      </c>
      <c r="N69" s="6" t="str">
        <f>IF($B69="","",IFERROR(INDEX('Типы элементов'!$N:$N,MATCH($B69,'Типы элементов'!$B:$B,0)),""))</f>
        <v/>
      </c>
      <c r="O69" s="6" t="str">
        <f>IF($B69="","",IFERROR(INDEX('Типы элементов'!$O:$O,MATCH($B69,'Типы элементов'!$B:$B,0)),""))</f>
        <v/>
      </c>
      <c r="P69" s="6" t="str">
        <f>IF($B69="","",IFERROR(INDEX('Типы элементов'!$P:$P,MATCH($B69,'Типы элементов'!$B:$B,0)),""))</f>
        <v/>
      </c>
    </row>
    <row r="70" spans="1:16">
      <c r="A70" s="6">
        <v>69</v>
      </c>
      <c r="B70" s="6"/>
      <c r="C70" s="9" t="str">
        <f>IF($B70="","",IFERROR(VLOOKUP($B70,'Типы элементов'!$A$2:$J$15,2,FALSE),""))</f>
        <v/>
      </c>
      <c r="D70" s="9" t="str">
        <f>IF($B70="","",IFERROR(VLOOKUP($B70,'Типы элементов'!$A$2:$J$15,3,FALSE),""))</f>
        <v/>
      </c>
      <c r="E70" s="9" t="str">
        <f>IF($B70="","",IFERROR(VLOOKUP($B70,'Типы элементов'!$A$2:$J$15,4,FALSE),""))</f>
        <v/>
      </c>
      <c r="F70" s="9" t="str">
        <f>IF($B70="","",IFERROR(VLOOKUP($B70,'Типы элементов'!$A$2:$J$15,5,FALSE),""))</f>
        <v/>
      </c>
      <c r="G70" s="9" t="str">
        <f>IF($B70="","",IFERROR(VLOOKUP($B70,'Типы элементов'!$A$2:$J$15,6,FALSE),""))</f>
        <v/>
      </c>
      <c r="H70" s="9" t="str">
        <f>IF($B70="","",IFERROR(VLOOKUP($B70,'Типы элементов'!$A$2:$J$15,7,FALSE),""))</f>
        <v/>
      </c>
      <c r="I70" s="9" t="str">
        <f>IF($B70="","",IFERROR(VLOOKUP($B70,'Типы элементов'!$A$2:$J$15,8,FALSE),""))</f>
        <v/>
      </c>
      <c r="J70" s="9" t="str">
        <f>IF($B70="","",IFERROR(VLOOKUP($B70,'Типы элементов'!$A$2:$J$15,9,FALSE),""))</f>
        <v/>
      </c>
      <c r="K70" s="10" t="str">
        <f>IF($B70="","",IFERROR(VLOOKUP($B70,'Типы элементов'!$A$2:$J$15,10,FALSE),""))</f>
        <v/>
      </c>
      <c r="L70" s="6" t="str">
        <f>IF($B70="","",IFERROR(INDEX('Типы элементов'!$L:$L,MATCH($B70,'Типы элементов'!$B:$B,0)),""))</f>
        <v/>
      </c>
      <c r="M70" s="6" t="str">
        <f>IF($B70="","",IFERROR(INDEX('Типы элементов'!$M:$M,MATCH($B70,'Типы элементов'!$B:$B,0)),""))</f>
        <v/>
      </c>
      <c r="N70" s="6" t="str">
        <f>IF($B70="","",IFERROR(INDEX('Типы элементов'!$N:$N,MATCH($B70,'Типы элементов'!$B:$B,0)),""))</f>
        <v/>
      </c>
      <c r="O70" s="6" t="str">
        <f>IF($B70="","",IFERROR(INDEX('Типы элементов'!$O:$O,MATCH($B70,'Типы элементов'!$B:$B,0)),""))</f>
        <v/>
      </c>
      <c r="P70" s="6" t="str">
        <f>IF($B70="","",IFERROR(INDEX('Типы элементов'!$P:$P,MATCH($B70,'Типы элементов'!$B:$B,0)),""))</f>
        <v/>
      </c>
    </row>
    <row r="71" spans="1:16">
      <c r="A71" s="6">
        <v>70</v>
      </c>
      <c r="B71" s="6"/>
      <c r="C71" s="9" t="str">
        <f>IF($B71="","",IFERROR(VLOOKUP($B71,'Типы элементов'!$A$2:$J$15,2,FALSE),""))</f>
        <v/>
      </c>
      <c r="D71" s="9" t="str">
        <f>IF($B71="","",IFERROR(VLOOKUP($B71,'Типы элементов'!$A$2:$J$15,3,FALSE),""))</f>
        <v/>
      </c>
      <c r="E71" s="9" t="str">
        <f>IF($B71="","",IFERROR(VLOOKUP($B71,'Типы элементов'!$A$2:$J$15,4,FALSE),""))</f>
        <v/>
      </c>
      <c r="F71" s="9" t="str">
        <f>IF($B71="","",IFERROR(VLOOKUP($B71,'Типы элементов'!$A$2:$J$15,5,FALSE),""))</f>
        <v/>
      </c>
      <c r="G71" s="9" t="str">
        <f>IF($B71="","",IFERROR(VLOOKUP($B71,'Типы элементов'!$A$2:$J$15,6,FALSE),""))</f>
        <v/>
      </c>
      <c r="H71" s="9" t="str">
        <f>IF($B71="","",IFERROR(VLOOKUP($B71,'Типы элементов'!$A$2:$J$15,7,FALSE),""))</f>
        <v/>
      </c>
      <c r="I71" s="9" t="str">
        <f>IF($B71="","",IFERROR(VLOOKUP($B71,'Типы элементов'!$A$2:$J$15,8,FALSE),""))</f>
        <v/>
      </c>
      <c r="J71" s="9" t="str">
        <f>IF($B71="","",IFERROR(VLOOKUP($B71,'Типы элементов'!$A$2:$J$15,9,FALSE),""))</f>
        <v/>
      </c>
      <c r="K71" s="10" t="str">
        <f>IF($B71="","",IFERROR(VLOOKUP($B71,'Типы элементов'!$A$2:$J$15,10,FALSE),""))</f>
        <v/>
      </c>
      <c r="L71" s="6" t="str">
        <f>IF($B71="","",IFERROR(INDEX('Типы элементов'!$L:$L,MATCH($B71,'Типы элементов'!$B:$B,0)),""))</f>
        <v/>
      </c>
      <c r="M71" s="6" t="str">
        <f>IF($B71="","",IFERROR(INDEX('Типы элементов'!$M:$M,MATCH($B71,'Типы элементов'!$B:$B,0)),""))</f>
        <v/>
      </c>
      <c r="N71" s="6" t="str">
        <f>IF($B71="","",IFERROR(INDEX('Типы элементов'!$N:$N,MATCH($B71,'Типы элементов'!$B:$B,0)),""))</f>
        <v/>
      </c>
      <c r="O71" s="6" t="str">
        <f>IF($B71="","",IFERROR(INDEX('Типы элементов'!$O:$O,MATCH($B71,'Типы элементов'!$B:$B,0)),""))</f>
        <v/>
      </c>
      <c r="P71" s="6" t="str">
        <f>IF($B71="","",IFERROR(INDEX('Типы элементов'!$P:$P,MATCH($B71,'Типы элементов'!$B:$B,0)),""))</f>
        <v/>
      </c>
    </row>
    <row r="72" spans="1:16">
      <c r="A72" s="6">
        <v>71</v>
      </c>
      <c r="B72" s="6"/>
      <c r="C72" s="9" t="str">
        <f>IF($B72="","",IFERROR(VLOOKUP($B72,'Типы элементов'!$A$2:$J$15,2,FALSE),""))</f>
        <v/>
      </c>
      <c r="D72" s="9" t="str">
        <f>IF($B72="","",IFERROR(VLOOKUP($B72,'Типы элементов'!$A$2:$J$15,3,FALSE),""))</f>
        <v/>
      </c>
      <c r="E72" s="9" t="str">
        <f>IF($B72="","",IFERROR(VLOOKUP($B72,'Типы элементов'!$A$2:$J$15,4,FALSE),""))</f>
        <v/>
      </c>
      <c r="F72" s="9" t="str">
        <f>IF($B72="","",IFERROR(VLOOKUP($B72,'Типы элементов'!$A$2:$J$15,5,FALSE),""))</f>
        <v/>
      </c>
      <c r="G72" s="9" t="str">
        <f>IF($B72="","",IFERROR(VLOOKUP($B72,'Типы элементов'!$A$2:$J$15,6,FALSE),""))</f>
        <v/>
      </c>
      <c r="H72" s="9" t="str">
        <f>IF($B72="","",IFERROR(VLOOKUP($B72,'Типы элементов'!$A$2:$J$15,7,FALSE),""))</f>
        <v/>
      </c>
      <c r="I72" s="9" t="str">
        <f>IF($B72="","",IFERROR(VLOOKUP($B72,'Типы элементов'!$A$2:$J$15,8,FALSE),""))</f>
        <v/>
      </c>
      <c r="J72" s="9" t="str">
        <f>IF($B72="","",IFERROR(VLOOKUP($B72,'Типы элементов'!$A$2:$J$15,9,FALSE),""))</f>
        <v/>
      </c>
      <c r="K72" s="10" t="str">
        <f>IF($B72="","",IFERROR(VLOOKUP($B72,'Типы элементов'!$A$2:$J$15,10,FALSE),""))</f>
        <v/>
      </c>
      <c r="L72" s="6" t="str">
        <f>IF($B72="","",IFERROR(INDEX('Типы элементов'!$L:$L,MATCH($B72,'Типы элементов'!$B:$B,0)),""))</f>
        <v/>
      </c>
      <c r="M72" s="6" t="str">
        <f>IF($B72="","",IFERROR(INDEX('Типы элементов'!$M:$M,MATCH($B72,'Типы элементов'!$B:$B,0)),""))</f>
        <v/>
      </c>
      <c r="N72" s="6" t="str">
        <f>IF($B72="","",IFERROR(INDEX('Типы элементов'!$N:$N,MATCH($B72,'Типы элементов'!$B:$B,0)),""))</f>
        <v/>
      </c>
      <c r="O72" s="6" t="str">
        <f>IF($B72="","",IFERROR(INDEX('Типы элементов'!$O:$O,MATCH($B72,'Типы элементов'!$B:$B,0)),""))</f>
        <v/>
      </c>
      <c r="P72" s="6" t="str">
        <f>IF($B72="","",IFERROR(INDEX('Типы элементов'!$P:$P,MATCH($B72,'Типы элементов'!$B:$B,0)),""))</f>
        <v/>
      </c>
    </row>
    <row r="73" spans="1:16">
      <c r="A73" s="6">
        <v>72</v>
      </c>
      <c r="B73" s="6"/>
      <c r="C73" s="9" t="str">
        <f>IF($B73="","",IFERROR(VLOOKUP($B73,'Типы элементов'!$A$2:$J$15,2,FALSE),""))</f>
        <v/>
      </c>
      <c r="D73" s="9" t="str">
        <f>IF($B73="","",IFERROR(VLOOKUP($B73,'Типы элементов'!$A$2:$J$15,3,FALSE),""))</f>
        <v/>
      </c>
      <c r="E73" s="9" t="str">
        <f>IF($B73="","",IFERROR(VLOOKUP($B73,'Типы элементов'!$A$2:$J$15,4,FALSE),""))</f>
        <v/>
      </c>
      <c r="F73" s="9" t="str">
        <f>IF($B73="","",IFERROR(VLOOKUP($B73,'Типы элементов'!$A$2:$J$15,5,FALSE),""))</f>
        <v/>
      </c>
      <c r="G73" s="9" t="str">
        <f>IF($B73="","",IFERROR(VLOOKUP($B73,'Типы элементов'!$A$2:$J$15,6,FALSE),""))</f>
        <v/>
      </c>
      <c r="H73" s="9" t="str">
        <f>IF($B73="","",IFERROR(VLOOKUP($B73,'Типы элементов'!$A$2:$J$15,7,FALSE),""))</f>
        <v/>
      </c>
      <c r="I73" s="9" t="str">
        <f>IF($B73="","",IFERROR(VLOOKUP($B73,'Типы элементов'!$A$2:$J$15,8,FALSE),""))</f>
        <v/>
      </c>
      <c r="J73" s="9" t="str">
        <f>IF($B73="","",IFERROR(VLOOKUP($B73,'Типы элементов'!$A$2:$J$15,9,FALSE),""))</f>
        <v/>
      </c>
      <c r="K73" s="10" t="str">
        <f>IF($B73="","",IFERROR(VLOOKUP($B73,'Типы элементов'!$A$2:$J$15,10,FALSE),""))</f>
        <v/>
      </c>
      <c r="L73" s="6" t="str">
        <f>IF($B73="","",IFERROR(INDEX('Типы элементов'!$L:$L,MATCH($B73,'Типы элементов'!$B:$B,0)),""))</f>
        <v/>
      </c>
      <c r="M73" s="6" t="str">
        <f>IF($B73="","",IFERROR(INDEX('Типы элементов'!$M:$M,MATCH($B73,'Типы элементов'!$B:$B,0)),""))</f>
        <v/>
      </c>
      <c r="N73" s="6" t="str">
        <f>IF($B73="","",IFERROR(INDEX('Типы элементов'!$N:$N,MATCH($B73,'Типы элементов'!$B:$B,0)),""))</f>
        <v/>
      </c>
      <c r="O73" s="6" t="str">
        <f>IF($B73="","",IFERROR(INDEX('Типы элементов'!$O:$O,MATCH($B73,'Типы элементов'!$B:$B,0)),""))</f>
        <v/>
      </c>
      <c r="P73" s="6" t="str">
        <f>IF($B73="","",IFERROR(INDEX('Типы элементов'!$P:$P,MATCH($B73,'Типы элементов'!$B:$B,0)),""))</f>
        <v/>
      </c>
    </row>
    <row r="74" spans="1:16">
      <c r="A74" s="6">
        <v>73</v>
      </c>
      <c r="B74" s="6"/>
      <c r="C74" s="9" t="str">
        <f>IF($B74="","",IFERROR(VLOOKUP($B74,'Типы элементов'!$A$2:$J$15,2,FALSE),""))</f>
        <v/>
      </c>
      <c r="D74" s="9" t="str">
        <f>IF($B74="","",IFERROR(VLOOKUP($B74,'Типы элементов'!$A$2:$J$15,3,FALSE),""))</f>
        <v/>
      </c>
      <c r="E74" s="9" t="str">
        <f>IF($B74="","",IFERROR(VLOOKUP($B74,'Типы элементов'!$A$2:$J$15,4,FALSE),""))</f>
        <v/>
      </c>
      <c r="F74" s="9" t="str">
        <f>IF($B74="","",IFERROR(VLOOKUP($B74,'Типы элементов'!$A$2:$J$15,5,FALSE),""))</f>
        <v/>
      </c>
      <c r="G74" s="9" t="str">
        <f>IF($B74="","",IFERROR(VLOOKUP($B74,'Типы элементов'!$A$2:$J$15,6,FALSE),""))</f>
        <v/>
      </c>
      <c r="H74" s="9" t="str">
        <f>IF($B74="","",IFERROR(VLOOKUP($B74,'Типы элементов'!$A$2:$J$15,7,FALSE),""))</f>
        <v/>
      </c>
      <c r="I74" s="9" t="str">
        <f>IF($B74="","",IFERROR(VLOOKUP($B74,'Типы элементов'!$A$2:$J$15,8,FALSE),""))</f>
        <v/>
      </c>
      <c r="J74" s="9" t="str">
        <f>IF($B74="","",IFERROR(VLOOKUP($B74,'Типы элементов'!$A$2:$J$15,9,FALSE),""))</f>
        <v/>
      </c>
      <c r="K74" s="10" t="str">
        <f>IF($B74="","",IFERROR(VLOOKUP($B74,'Типы элементов'!$A$2:$J$15,10,FALSE),""))</f>
        <v/>
      </c>
      <c r="L74" s="6" t="str">
        <f>IF($B74="","",IFERROR(INDEX('Типы элементов'!$L:$L,MATCH($B74,'Типы элементов'!$B:$B,0)),""))</f>
        <v/>
      </c>
      <c r="M74" s="6" t="str">
        <f>IF($B74="","",IFERROR(INDEX('Типы элементов'!$M:$M,MATCH($B74,'Типы элементов'!$B:$B,0)),""))</f>
        <v/>
      </c>
      <c r="N74" s="6" t="str">
        <f>IF($B74="","",IFERROR(INDEX('Типы элементов'!$N:$N,MATCH($B74,'Типы элементов'!$B:$B,0)),""))</f>
        <v/>
      </c>
      <c r="O74" s="6" t="str">
        <f>IF($B74="","",IFERROR(INDEX('Типы элементов'!$O:$O,MATCH($B74,'Типы элементов'!$B:$B,0)),""))</f>
        <v/>
      </c>
      <c r="P74" s="6" t="str">
        <f>IF($B74="","",IFERROR(INDEX('Типы элементов'!$P:$P,MATCH($B74,'Типы элементов'!$B:$B,0)),""))</f>
        <v/>
      </c>
    </row>
    <row r="75" spans="1:16">
      <c r="A75" s="6">
        <v>74</v>
      </c>
      <c r="B75" s="6"/>
      <c r="C75" s="9" t="str">
        <f>IF($B75="","",IFERROR(VLOOKUP($B75,'Типы элементов'!$A$2:$J$15,2,FALSE),""))</f>
        <v/>
      </c>
      <c r="D75" s="9" t="str">
        <f>IF($B75="","",IFERROR(VLOOKUP($B75,'Типы элементов'!$A$2:$J$15,3,FALSE),""))</f>
        <v/>
      </c>
      <c r="E75" s="9" t="str">
        <f>IF($B75="","",IFERROR(VLOOKUP($B75,'Типы элементов'!$A$2:$J$15,4,FALSE),""))</f>
        <v/>
      </c>
      <c r="F75" s="9" t="str">
        <f>IF($B75="","",IFERROR(VLOOKUP($B75,'Типы элементов'!$A$2:$J$15,5,FALSE),""))</f>
        <v/>
      </c>
      <c r="G75" s="9" t="str">
        <f>IF($B75="","",IFERROR(VLOOKUP($B75,'Типы элементов'!$A$2:$J$15,6,FALSE),""))</f>
        <v/>
      </c>
      <c r="H75" s="9" t="str">
        <f>IF($B75="","",IFERROR(VLOOKUP($B75,'Типы элементов'!$A$2:$J$15,7,FALSE),""))</f>
        <v/>
      </c>
      <c r="I75" s="9" t="str">
        <f>IF($B75="","",IFERROR(VLOOKUP($B75,'Типы элементов'!$A$2:$J$15,8,FALSE),""))</f>
        <v/>
      </c>
      <c r="J75" s="9" t="str">
        <f>IF($B75="","",IFERROR(VLOOKUP($B75,'Типы элементов'!$A$2:$J$15,9,FALSE),""))</f>
        <v/>
      </c>
      <c r="K75" s="10" t="str">
        <f>IF($B75="","",IFERROR(VLOOKUP($B75,'Типы элементов'!$A$2:$J$15,10,FALSE),""))</f>
        <v/>
      </c>
      <c r="L75" s="6" t="str">
        <f>IF($B75="","",IFERROR(INDEX('Типы элементов'!$L:$L,MATCH($B75,'Типы элементов'!$B:$B,0)),""))</f>
        <v/>
      </c>
      <c r="M75" s="6" t="str">
        <f>IF($B75="","",IFERROR(INDEX('Типы элементов'!$M:$M,MATCH($B75,'Типы элементов'!$B:$B,0)),""))</f>
        <v/>
      </c>
      <c r="N75" s="6" t="str">
        <f>IF($B75="","",IFERROR(INDEX('Типы элементов'!$N:$N,MATCH($B75,'Типы элементов'!$B:$B,0)),""))</f>
        <v/>
      </c>
      <c r="O75" s="6" t="str">
        <f>IF($B75="","",IFERROR(INDEX('Типы элементов'!$O:$O,MATCH($B75,'Типы элементов'!$B:$B,0)),""))</f>
        <v/>
      </c>
      <c r="P75" s="6" t="str">
        <f>IF($B75="","",IFERROR(INDEX('Типы элементов'!$P:$P,MATCH($B75,'Типы элементов'!$B:$B,0)),""))</f>
        <v/>
      </c>
    </row>
    <row r="76" spans="1:16">
      <c r="A76" s="6">
        <v>75</v>
      </c>
      <c r="B76" s="6"/>
      <c r="C76" s="9" t="str">
        <f>IF($B76="","",IFERROR(VLOOKUP($B76,'Типы элементов'!$A$2:$J$15,2,FALSE),""))</f>
        <v/>
      </c>
      <c r="D76" s="9" t="str">
        <f>IF($B76="","",IFERROR(VLOOKUP($B76,'Типы элементов'!$A$2:$J$15,3,FALSE),""))</f>
        <v/>
      </c>
      <c r="E76" s="9" t="str">
        <f>IF($B76="","",IFERROR(VLOOKUP($B76,'Типы элементов'!$A$2:$J$15,4,FALSE),""))</f>
        <v/>
      </c>
      <c r="F76" s="9" t="str">
        <f>IF($B76="","",IFERROR(VLOOKUP($B76,'Типы элементов'!$A$2:$J$15,5,FALSE),""))</f>
        <v/>
      </c>
      <c r="G76" s="9" t="str">
        <f>IF($B76="","",IFERROR(VLOOKUP($B76,'Типы элементов'!$A$2:$J$15,6,FALSE),""))</f>
        <v/>
      </c>
      <c r="H76" s="9" t="str">
        <f>IF($B76="","",IFERROR(VLOOKUP($B76,'Типы элементов'!$A$2:$J$15,7,FALSE),""))</f>
        <v/>
      </c>
      <c r="I76" s="9" t="str">
        <f>IF($B76="","",IFERROR(VLOOKUP($B76,'Типы элементов'!$A$2:$J$15,8,FALSE),""))</f>
        <v/>
      </c>
      <c r="J76" s="9" t="str">
        <f>IF($B76="","",IFERROR(VLOOKUP($B76,'Типы элементов'!$A$2:$J$15,9,FALSE),""))</f>
        <v/>
      </c>
      <c r="K76" s="10" t="str">
        <f>IF($B76="","",IFERROR(VLOOKUP($B76,'Типы элементов'!$A$2:$J$15,10,FALSE),""))</f>
        <v/>
      </c>
      <c r="L76" s="6" t="str">
        <f>IF($B76="","",IFERROR(INDEX('Типы элементов'!$L:$L,MATCH($B76,'Типы элементов'!$B:$B,0)),""))</f>
        <v/>
      </c>
      <c r="M76" s="6" t="str">
        <f>IF($B76="","",IFERROR(INDEX('Типы элементов'!$M:$M,MATCH($B76,'Типы элементов'!$B:$B,0)),""))</f>
        <v/>
      </c>
      <c r="N76" s="6" t="str">
        <f>IF($B76="","",IFERROR(INDEX('Типы элементов'!$N:$N,MATCH($B76,'Типы элементов'!$B:$B,0)),""))</f>
        <v/>
      </c>
      <c r="O76" s="6" t="str">
        <f>IF($B76="","",IFERROR(INDEX('Типы элементов'!$O:$O,MATCH($B76,'Типы элементов'!$B:$B,0)),""))</f>
        <v/>
      </c>
      <c r="P76" s="6" t="str">
        <f>IF($B76="","",IFERROR(INDEX('Типы элементов'!$P:$P,MATCH($B76,'Типы элементов'!$B:$B,0)),""))</f>
        <v/>
      </c>
    </row>
    <row r="77" spans="1:16">
      <c r="A77" s="6">
        <v>76</v>
      </c>
      <c r="B77" s="6"/>
      <c r="C77" s="9" t="str">
        <f>IF($B77="","",IFERROR(VLOOKUP($B77,'Типы элементов'!$A$2:$J$15,2,FALSE),""))</f>
        <v/>
      </c>
      <c r="D77" s="9" t="str">
        <f>IF($B77="","",IFERROR(VLOOKUP($B77,'Типы элементов'!$A$2:$J$15,3,FALSE),""))</f>
        <v/>
      </c>
      <c r="E77" s="9" t="str">
        <f>IF($B77="","",IFERROR(VLOOKUP($B77,'Типы элементов'!$A$2:$J$15,4,FALSE),""))</f>
        <v/>
      </c>
      <c r="F77" s="9" t="str">
        <f>IF($B77="","",IFERROR(VLOOKUP($B77,'Типы элементов'!$A$2:$J$15,5,FALSE),""))</f>
        <v/>
      </c>
      <c r="G77" s="9" t="str">
        <f>IF($B77="","",IFERROR(VLOOKUP($B77,'Типы элементов'!$A$2:$J$15,6,FALSE),""))</f>
        <v/>
      </c>
      <c r="H77" s="9" t="str">
        <f>IF($B77="","",IFERROR(VLOOKUP($B77,'Типы элементов'!$A$2:$J$15,7,FALSE),""))</f>
        <v/>
      </c>
      <c r="I77" s="9" t="str">
        <f>IF($B77="","",IFERROR(VLOOKUP($B77,'Типы элементов'!$A$2:$J$15,8,FALSE),""))</f>
        <v/>
      </c>
      <c r="J77" s="9" t="str">
        <f>IF($B77="","",IFERROR(VLOOKUP($B77,'Типы элементов'!$A$2:$J$15,9,FALSE),""))</f>
        <v/>
      </c>
      <c r="K77" s="10" t="str">
        <f>IF($B77="","",IFERROR(VLOOKUP($B77,'Типы элементов'!$A$2:$J$15,10,FALSE),""))</f>
        <v/>
      </c>
      <c r="L77" s="6" t="str">
        <f>IF($B77="","",IFERROR(INDEX('Типы элементов'!$L:$L,MATCH($B77,'Типы элементов'!$B:$B,0)),""))</f>
        <v/>
      </c>
      <c r="M77" s="6" t="str">
        <f>IF($B77="","",IFERROR(INDEX('Типы элементов'!$M:$M,MATCH($B77,'Типы элементов'!$B:$B,0)),""))</f>
        <v/>
      </c>
      <c r="N77" s="6" t="str">
        <f>IF($B77="","",IFERROR(INDEX('Типы элементов'!$N:$N,MATCH($B77,'Типы элементов'!$B:$B,0)),""))</f>
        <v/>
      </c>
      <c r="O77" s="6" t="str">
        <f>IF($B77="","",IFERROR(INDEX('Типы элементов'!$O:$O,MATCH($B77,'Типы элементов'!$B:$B,0)),""))</f>
        <v/>
      </c>
      <c r="P77" s="6" t="str">
        <f>IF($B77="","",IFERROR(INDEX('Типы элементов'!$P:$P,MATCH($B77,'Типы элементов'!$B:$B,0)),""))</f>
        <v/>
      </c>
    </row>
    <row r="78" spans="1:16">
      <c r="A78" s="6">
        <v>77</v>
      </c>
      <c r="B78" s="6"/>
      <c r="C78" s="9" t="str">
        <f>IF($B78="","",IFERROR(VLOOKUP($B78,'Типы элементов'!$A$2:$J$15,2,FALSE),""))</f>
        <v/>
      </c>
      <c r="D78" s="9" t="str">
        <f>IF($B78="","",IFERROR(VLOOKUP($B78,'Типы элементов'!$A$2:$J$15,3,FALSE),""))</f>
        <v/>
      </c>
      <c r="E78" s="9" t="str">
        <f>IF($B78="","",IFERROR(VLOOKUP($B78,'Типы элементов'!$A$2:$J$15,4,FALSE),""))</f>
        <v/>
      </c>
      <c r="F78" s="9" t="str">
        <f>IF($B78="","",IFERROR(VLOOKUP($B78,'Типы элементов'!$A$2:$J$15,5,FALSE),""))</f>
        <v/>
      </c>
      <c r="G78" s="9" t="str">
        <f>IF($B78="","",IFERROR(VLOOKUP($B78,'Типы элементов'!$A$2:$J$15,6,FALSE),""))</f>
        <v/>
      </c>
      <c r="H78" s="9" t="str">
        <f>IF($B78="","",IFERROR(VLOOKUP($B78,'Типы элементов'!$A$2:$J$15,7,FALSE),""))</f>
        <v/>
      </c>
      <c r="I78" s="9" t="str">
        <f>IF($B78="","",IFERROR(VLOOKUP($B78,'Типы элементов'!$A$2:$J$15,8,FALSE),""))</f>
        <v/>
      </c>
      <c r="J78" s="9" t="str">
        <f>IF($B78="","",IFERROR(VLOOKUP($B78,'Типы элементов'!$A$2:$J$15,9,FALSE),""))</f>
        <v/>
      </c>
      <c r="K78" s="10" t="str">
        <f>IF($B78="","",IFERROR(VLOOKUP($B78,'Типы элементов'!$A$2:$J$15,10,FALSE),""))</f>
        <v/>
      </c>
      <c r="L78" s="6" t="str">
        <f>IF($B78="","",IFERROR(INDEX('Типы элементов'!$L:$L,MATCH($B78,'Типы элементов'!$B:$B,0)),""))</f>
        <v/>
      </c>
      <c r="M78" s="6" t="str">
        <f>IF($B78="","",IFERROR(INDEX('Типы элементов'!$M:$M,MATCH($B78,'Типы элементов'!$B:$B,0)),""))</f>
        <v/>
      </c>
      <c r="N78" s="6" t="str">
        <f>IF($B78="","",IFERROR(INDEX('Типы элементов'!$N:$N,MATCH($B78,'Типы элементов'!$B:$B,0)),""))</f>
        <v/>
      </c>
      <c r="O78" s="6" t="str">
        <f>IF($B78="","",IFERROR(INDEX('Типы элементов'!$O:$O,MATCH($B78,'Типы элементов'!$B:$B,0)),""))</f>
        <v/>
      </c>
      <c r="P78" s="6" t="str">
        <f>IF($B78="","",IFERROR(INDEX('Типы элементов'!$P:$P,MATCH($B78,'Типы элементов'!$B:$B,0)),""))</f>
        <v/>
      </c>
    </row>
    <row r="79" spans="1:16">
      <c r="A79" s="6">
        <v>78</v>
      </c>
      <c r="B79" s="6"/>
      <c r="C79" s="9" t="str">
        <f>IF($B79="","",IFERROR(VLOOKUP($B79,'Типы элементов'!$A$2:$J$15,2,FALSE),""))</f>
        <v/>
      </c>
      <c r="D79" s="9" t="str">
        <f>IF($B79="","",IFERROR(VLOOKUP($B79,'Типы элементов'!$A$2:$J$15,3,FALSE),""))</f>
        <v/>
      </c>
      <c r="E79" s="9" t="str">
        <f>IF($B79="","",IFERROR(VLOOKUP($B79,'Типы элементов'!$A$2:$J$15,4,FALSE),""))</f>
        <v/>
      </c>
      <c r="F79" s="9" t="str">
        <f>IF($B79="","",IFERROR(VLOOKUP($B79,'Типы элементов'!$A$2:$J$15,5,FALSE),""))</f>
        <v/>
      </c>
      <c r="G79" s="9" t="str">
        <f>IF($B79="","",IFERROR(VLOOKUP($B79,'Типы элементов'!$A$2:$J$15,6,FALSE),""))</f>
        <v/>
      </c>
      <c r="H79" s="9" t="str">
        <f>IF($B79="","",IFERROR(VLOOKUP($B79,'Типы элементов'!$A$2:$J$15,7,FALSE),""))</f>
        <v/>
      </c>
      <c r="I79" s="9" t="str">
        <f>IF($B79="","",IFERROR(VLOOKUP($B79,'Типы элементов'!$A$2:$J$15,8,FALSE),""))</f>
        <v/>
      </c>
      <c r="J79" s="9" t="str">
        <f>IF($B79="","",IFERROR(VLOOKUP($B79,'Типы элементов'!$A$2:$J$15,9,FALSE),""))</f>
        <v/>
      </c>
      <c r="K79" s="10" t="str">
        <f>IF($B79="","",IFERROR(VLOOKUP($B79,'Типы элементов'!$A$2:$J$15,10,FALSE),""))</f>
        <v/>
      </c>
      <c r="L79" s="6" t="str">
        <f>IF($B79="","",IFERROR(INDEX('Типы элементов'!$L:$L,MATCH($B79,'Типы элементов'!$B:$B,0)),""))</f>
        <v/>
      </c>
      <c r="M79" s="6" t="str">
        <f>IF($B79="","",IFERROR(INDEX('Типы элементов'!$M:$M,MATCH($B79,'Типы элементов'!$B:$B,0)),""))</f>
        <v/>
      </c>
      <c r="N79" s="6" t="str">
        <f>IF($B79="","",IFERROR(INDEX('Типы элементов'!$N:$N,MATCH($B79,'Типы элементов'!$B:$B,0)),""))</f>
        <v/>
      </c>
      <c r="O79" s="6" t="str">
        <f>IF($B79="","",IFERROR(INDEX('Типы элементов'!$O:$O,MATCH($B79,'Типы элементов'!$B:$B,0)),""))</f>
        <v/>
      </c>
      <c r="P79" s="6" t="str">
        <f>IF($B79="","",IFERROR(INDEX('Типы элементов'!$P:$P,MATCH($B79,'Типы элементов'!$B:$B,0)),""))</f>
        <v/>
      </c>
    </row>
    <row r="80" spans="1:16">
      <c r="A80" s="6">
        <v>79</v>
      </c>
      <c r="B80" s="6"/>
      <c r="C80" s="9" t="str">
        <f>IF($B80="","",IFERROR(VLOOKUP($B80,'Типы элементов'!$A$2:$J$15,2,FALSE),""))</f>
        <v/>
      </c>
      <c r="D80" s="9" t="str">
        <f>IF($B80="","",IFERROR(VLOOKUP($B80,'Типы элементов'!$A$2:$J$15,3,FALSE),""))</f>
        <v/>
      </c>
      <c r="E80" s="9" t="str">
        <f>IF($B80="","",IFERROR(VLOOKUP($B80,'Типы элементов'!$A$2:$J$15,4,FALSE),""))</f>
        <v/>
      </c>
      <c r="F80" s="9" t="str">
        <f>IF($B80="","",IFERROR(VLOOKUP($B80,'Типы элементов'!$A$2:$J$15,5,FALSE),""))</f>
        <v/>
      </c>
      <c r="G80" s="9" t="str">
        <f>IF($B80="","",IFERROR(VLOOKUP($B80,'Типы элементов'!$A$2:$J$15,6,FALSE),""))</f>
        <v/>
      </c>
      <c r="H80" s="9" t="str">
        <f>IF($B80="","",IFERROR(VLOOKUP($B80,'Типы элементов'!$A$2:$J$15,7,FALSE),""))</f>
        <v/>
      </c>
      <c r="I80" s="9" t="str">
        <f>IF($B80="","",IFERROR(VLOOKUP($B80,'Типы элементов'!$A$2:$J$15,8,FALSE),""))</f>
        <v/>
      </c>
      <c r="J80" s="9" t="str">
        <f>IF($B80="","",IFERROR(VLOOKUP($B80,'Типы элементов'!$A$2:$J$15,9,FALSE),""))</f>
        <v/>
      </c>
      <c r="K80" s="10" t="str">
        <f>IF($B80="","",IFERROR(VLOOKUP($B80,'Типы элементов'!$A$2:$J$15,10,FALSE),""))</f>
        <v/>
      </c>
      <c r="L80" s="6" t="str">
        <f>IF($B80="","",IFERROR(INDEX('Типы элементов'!$L:$L,MATCH($B80,'Типы элементов'!$B:$B,0)),""))</f>
        <v/>
      </c>
      <c r="M80" s="6" t="str">
        <f>IF($B80="","",IFERROR(INDEX('Типы элементов'!$M:$M,MATCH($B80,'Типы элементов'!$B:$B,0)),""))</f>
        <v/>
      </c>
      <c r="N80" s="6" t="str">
        <f>IF($B80="","",IFERROR(INDEX('Типы элементов'!$N:$N,MATCH($B80,'Типы элементов'!$B:$B,0)),""))</f>
        <v/>
      </c>
      <c r="O80" s="6" t="str">
        <f>IF($B80="","",IFERROR(INDEX('Типы элементов'!$O:$O,MATCH($B80,'Типы элементов'!$B:$B,0)),""))</f>
        <v/>
      </c>
      <c r="P80" s="6" t="str">
        <f>IF($B80="","",IFERROR(INDEX('Типы элементов'!$P:$P,MATCH($B80,'Типы элементов'!$B:$B,0)),""))</f>
        <v/>
      </c>
    </row>
    <row r="81" spans="1:16">
      <c r="A81" s="6">
        <v>80</v>
      </c>
      <c r="B81" s="6"/>
      <c r="C81" s="9" t="str">
        <f>IF($B81="","",IFERROR(VLOOKUP($B81,'Типы элементов'!$A$2:$J$15,2,FALSE),""))</f>
        <v/>
      </c>
      <c r="D81" s="9" t="str">
        <f>IF($B81="","",IFERROR(VLOOKUP($B81,'Типы элементов'!$A$2:$J$15,3,FALSE),""))</f>
        <v/>
      </c>
      <c r="E81" s="9" t="str">
        <f>IF($B81="","",IFERROR(VLOOKUP($B81,'Типы элементов'!$A$2:$J$15,4,FALSE),""))</f>
        <v/>
      </c>
      <c r="F81" s="9" t="str">
        <f>IF($B81="","",IFERROR(VLOOKUP($B81,'Типы элементов'!$A$2:$J$15,5,FALSE),""))</f>
        <v/>
      </c>
      <c r="G81" s="9" t="str">
        <f>IF($B81="","",IFERROR(VLOOKUP($B81,'Типы элементов'!$A$2:$J$15,6,FALSE),""))</f>
        <v/>
      </c>
      <c r="H81" s="9" t="str">
        <f>IF($B81="","",IFERROR(VLOOKUP($B81,'Типы элементов'!$A$2:$J$15,7,FALSE),""))</f>
        <v/>
      </c>
      <c r="I81" s="9" t="str">
        <f>IF($B81="","",IFERROR(VLOOKUP($B81,'Типы элементов'!$A$2:$J$15,8,FALSE),""))</f>
        <v/>
      </c>
      <c r="J81" s="9" t="str">
        <f>IF($B81="","",IFERROR(VLOOKUP($B81,'Типы элементов'!$A$2:$J$15,9,FALSE),""))</f>
        <v/>
      </c>
      <c r="K81" s="10" t="str">
        <f>IF($B81="","",IFERROR(VLOOKUP($B81,'Типы элементов'!$A$2:$J$15,10,FALSE),""))</f>
        <v/>
      </c>
      <c r="L81" s="6" t="str">
        <f>IF($B81="","",IFERROR(INDEX('Типы элементов'!$L:$L,MATCH($B81,'Типы элементов'!$B:$B,0)),""))</f>
        <v/>
      </c>
      <c r="M81" s="6" t="str">
        <f>IF($B81="","",IFERROR(INDEX('Типы элементов'!$M:$M,MATCH($B81,'Типы элементов'!$B:$B,0)),""))</f>
        <v/>
      </c>
      <c r="N81" s="6" t="str">
        <f>IF($B81="","",IFERROR(INDEX('Типы элементов'!$N:$N,MATCH($B81,'Типы элементов'!$B:$B,0)),""))</f>
        <v/>
      </c>
      <c r="O81" s="6" t="str">
        <f>IF($B81="","",IFERROR(INDEX('Типы элементов'!$O:$O,MATCH($B81,'Типы элементов'!$B:$B,0)),""))</f>
        <v/>
      </c>
      <c r="P81" s="6" t="str">
        <f>IF($B81="","",IFERROR(INDEX('Типы элементов'!$P:$P,MATCH($B81,'Типы элементов'!$B:$B,0)),""))</f>
        <v/>
      </c>
    </row>
    <row r="82" spans="1:16">
      <c r="A82" s="6">
        <v>81</v>
      </c>
      <c r="B82" s="6"/>
      <c r="C82" s="9" t="str">
        <f>IF($B82="","",IFERROR(VLOOKUP($B82,'Типы элементов'!$A$2:$J$15,2,FALSE),""))</f>
        <v/>
      </c>
      <c r="D82" s="9" t="str">
        <f>IF($B82="","",IFERROR(VLOOKUP($B82,'Типы элементов'!$A$2:$J$15,3,FALSE),""))</f>
        <v/>
      </c>
      <c r="E82" s="9" t="str">
        <f>IF($B82="","",IFERROR(VLOOKUP($B82,'Типы элементов'!$A$2:$J$15,4,FALSE),""))</f>
        <v/>
      </c>
      <c r="F82" s="9" t="str">
        <f>IF($B82="","",IFERROR(VLOOKUP($B82,'Типы элементов'!$A$2:$J$15,5,FALSE),""))</f>
        <v/>
      </c>
      <c r="G82" s="9" t="str">
        <f>IF($B82="","",IFERROR(VLOOKUP($B82,'Типы элементов'!$A$2:$J$15,6,FALSE),""))</f>
        <v/>
      </c>
      <c r="H82" s="9" t="str">
        <f>IF($B82="","",IFERROR(VLOOKUP($B82,'Типы элементов'!$A$2:$J$15,7,FALSE),""))</f>
        <v/>
      </c>
      <c r="I82" s="9" t="str">
        <f>IF($B82="","",IFERROR(VLOOKUP($B82,'Типы элементов'!$A$2:$J$15,8,FALSE),""))</f>
        <v/>
      </c>
      <c r="J82" s="9" t="str">
        <f>IF($B82="","",IFERROR(VLOOKUP($B82,'Типы элементов'!$A$2:$J$15,9,FALSE),""))</f>
        <v/>
      </c>
      <c r="K82" s="10" t="str">
        <f>IF($B82="","",IFERROR(VLOOKUP($B82,'Типы элементов'!$A$2:$J$15,10,FALSE),""))</f>
        <v/>
      </c>
      <c r="L82" s="6" t="str">
        <f>IF($B82="","",IFERROR(INDEX('Типы элементов'!$L:$L,MATCH($B82,'Типы элементов'!$B:$B,0)),""))</f>
        <v/>
      </c>
      <c r="M82" s="6" t="str">
        <f>IF($B82="","",IFERROR(INDEX('Типы элементов'!$M:$M,MATCH($B82,'Типы элементов'!$B:$B,0)),""))</f>
        <v/>
      </c>
      <c r="N82" s="6" t="str">
        <f>IF($B82="","",IFERROR(INDEX('Типы элементов'!$N:$N,MATCH($B82,'Типы элементов'!$B:$B,0)),""))</f>
        <v/>
      </c>
      <c r="O82" s="6" t="str">
        <f>IF($B82="","",IFERROR(INDEX('Типы элементов'!$O:$O,MATCH($B82,'Типы элементов'!$B:$B,0)),""))</f>
        <v/>
      </c>
      <c r="P82" s="6" t="str">
        <f>IF($B82="","",IFERROR(INDEX('Типы элементов'!$P:$P,MATCH($B82,'Типы элементов'!$B:$B,0)),""))</f>
        <v/>
      </c>
    </row>
    <row r="83" spans="1:16">
      <c r="A83" s="6">
        <v>82</v>
      </c>
      <c r="B83" s="6"/>
      <c r="C83" s="9" t="str">
        <f>IF($B83="","",IFERROR(VLOOKUP($B83,'Типы элементов'!$A$2:$J$15,2,FALSE),""))</f>
        <v/>
      </c>
      <c r="D83" s="9" t="str">
        <f>IF($B83="","",IFERROR(VLOOKUP($B83,'Типы элементов'!$A$2:$J$15,3,FALSE),""))</f>
        <v/>
      </c>
      <c r="E83" s="9" t="str">
        <f>IF($B83="","",IFERROR(VLOOKUP($B83,'Типы элементов'!$A$2:$J$15,4,FALSE),""))</f>
        <v/>
      </c>
      <c r="F83" s="9" t="str">
        <f>IF($B83="","",IFERROR(VLOOKUP($B83,'Типы элементов'!$A$2:$J$15,5,FALSE),""))</f>
        <v/>
      </c>
      <c r="G83" s="9" t="str">
        <f>IF($B83="","",IFERROR(VLOOKUP($B83,'Типы элементов'!$A$2:$J$15,6,FALSE),""))</f>
        <v/>
      </c>
      <c r="H83" s="9" t="str">
        <f>IF($B83="","",IFERROR(VLOOKUP($B83,'Типы элементов'!$A$2:$J$15,7,FALSE),""))</f>
        <v/>
      </c>
      <c r="I83" s="9" t="str">
        <f>IF($B83="","",IFERROR(VLOOKUP($B83,'Типы элементов'!$A$2:$J$15,8,FALSE),""))</f>
        <v/>
      </c>
      <c r="J83" s="9" t="str">
        <f>IF($B83="","",IFERROR(VLOOKUP($B83,'Типы элементов'!$A$2:$J$15,9,FALSE),""))</f>
        <v/>
      </c>
      <c r="K83" s="10" t="str">
        <f>IF($B83="","",IFERROR(VLOOKUP($B83,'Типы элементов'!$A$2:$J$15,10,FALSE),""))</f>
        <v/>
      </c>
      <c r="L83" s="6" t="str">
        <f>IF($B83="","",IFERROR(INDEX('Типы элементов'!$L:$L,MATCH($B83,'Типы элементов'!$B:$B,0)),""))</f>
        <v/>
      </c>
      <c r="M83" s="6" t="str">
        <f>IF($B83="","",IFERROR(INDEX('Типы элементов'!$M:$M,MATCH($B83,'Типы элементов'!$B:$B,0)),""))</f>
        <v/>
      </c>
      <c r="N83" s="6" t="str">
        <f>IF($B83="","",IFERROR(INDEX('Типы элементов'!$N:$N,MATCH($B83,'Типы элементов'!$B:$B,0)),""))</f>
        <v/>
      </c>
      <c r="O83" s="6" t="str">
        <f>IF($B83="","",IFERROR(INDEX('Типы элементов'!$O:$O,MATCH($B83,'Типы элементов'!$B:$B,0)),""))</f>
        <v/>
      </c>
      <c r="P83" s="6" t="str">
        <f>IF($B83="","",IFERROR(INDEX('Типы элементов'!$P:$P,MATCH($B83,'Типы элементов'!$B:$B,0)),""))</f>
        <v/>
      </c>
    </row>
    <row r="84" spans="1:16">
      <c r="A84" s="6">
        <v>83</v>
      </c>
      <c r="B84" s="6"/>
      <c r="C84" s="9" t="str">
        <f>IF($B84="","",IFERROR(VLOOKUP($B84,'Типы элементов'!$A$2:$J$15,2,FALSE),""))</f>
        <v/>
      </c>
      <c r="D84" s="9" t="str">
        <f>IF($B84="","",IFERROR(VLOOKUP($B84,'Типы элементов'!$A$2:$J$15,3,FALSE),""))</f>
        <v/>
      </c>
      <c r="E84" s="9" t="str">
        <f>IF($B84="","",IFERROR(VLOOKUP($B84,'Типы элементов'!$A$2:$J$15,4,FALSE),""))</f>
        <v/>
      </c>
      <c r="F84" s="9" t="str">
        <f>IF($B84="","",IFERROR(VLOOKUP($B84,'Типы элементов'!$A$2:$J$15,5,FALSE),""))</f>
        <v/>
      </c>
      <c r="G84" s="9" t="str">
        <f>IF($B84="","",IFERROR(VLOOKUP($B84,'Типы элементов'!$A$2:$J$15,6,FALSE),""))</f>
        <v/>
      </c>
      <c r="H84" s="9" t="str">
        <f>IF($B84="","",IFERROR(VLOOKUP($B84,'Типы элементов'!$A$2:$J$15,7,FALSE),""))</f>
        <v/>
      </c>
      <c r="I84" s="9" t="str">
        <f>IF($B84="","",IFERROR(VLOOKUP($B84,'Типы элементов'!$A$2:$J$15,8,FALSE),""))</f>
        <v/>
      </c>
      <c r="J84" s="9" t="str">
        <f>IF($B84="","",IFERROR(VLOOKUP($B84,'Типы элементов'!$A$2:$J$15,9,FALSE),""))</f>
        <v/>
      </c>
      <c r="K84" s="10" t="str">
        <f>IF($B84="","",IFERROR(VLOOKUP($B84,'Типы элементов'!$A$2:$J$15,10,FALSE),""))</f>
        <v/>
      </c>
      <c r="L84" s="6" t="str">
        <f>IF($B84="","",IFERROR(INDEX('Типы элементов'!$L:$L,MATCH($B84,'Типы элементов'!$B:$B,0)),""))</f>
        <v/>
      </c>
      <c r="M84" s="6" t="str">
        <f>IF($B84="","",IFERROR(INDEX('Типы элементов'!$M:$M,MATCH($B84,'Типы элементов'!$B:$B,0)),""))</f>
        <v/>
      </c>
      <c r="N84" s="6" t="str">
        <f>IF($B84="","",IFERROR(INDEX('Типы элементов'!$N:$N,MATCH($B84,'Типы элементов'!$B:$B,0)),""))</f>
        <v/>
      </c>
      <c r="O84" s="6" t="str">
        <f>IF($B84="","",IFERROR(INDEX('Типы элементов'!$O:$O,MATCH($B84,'Типы элементов'!$B:$B,0)),""))</f>
        <v/>
      </c>
      <c r="P84" s="6" t="str">
        <f>IF($B84="","",IFERROR(INDEX('Типы элементов'!$P:$P,MATCH($B84,'Типы элементов'!$B:$B,0)),""))</f>
        <v/>
      </c>
    </row>
    <row r="85" spans="1:16">
      <c r="A85" s="6">
        <v>84</v>
      </c>
      <c r="B85" s="6"/>
      <c r="C85" s="9" t="str">
        <f>IF($B85="","",IFERROR(VLOOKUP($B85,'Типы элементов'!$A$2:$J$15,2,FALSE),""))</f>
        <v/>
      </c>
      <c r="D85" s="9" t="str">
        <f>IF($B85="","",IFERROR(VLOOKUP($B85,'Типы элементов'!$A$2:$J$15,3,FALSE),""))</f>
        <v/>
      </c>
      <c r="E85" s="9" t="str">
        <f>IF($B85="","",IFERROR(VLOOKUP($B85,'Типы элементов'!$A$2:$J$15,4,FALSE),""))</f>
        <v/>
      </c>
      <c r="F85" s="9" t="str">
        <f>IF($B85="","",IFERROR(VLOOKUP($B85,'Типы элементов'!$A$2:$J$15,5,FALSE),""))</f>
        <v/>
      </c>
      <c r="G85" s="9" t="str">
        <f>IF($B85="","",IFERROR(VLOOKUP($B85,'Типы элементов'!$A$2:$J$15,6,FALSE),""))</f>
        <v/>
      </c>
      <c r="H85" s="9" t="str">
        <f>IF($B85="","",IFERROR(VLOOKUP($B85,'Типы элементов'!$A$2:$J$15,7,FALSE),""))</f>
        <v/>
      </c>
      <c r="I85" s="9" t="str">
        <f>IF($B85="","",IFERROR(VLOOKUP($B85,'Типы элементов'!$A$2:$J$15,8,FALSE),""))</f>
        <v/>
      </c>
      <c r="J85" s="9" t="str">
        <f>IF($B85="","",IFERROR(VLOOKUP($B85,'Типы элементов'!$A$2:$J$15,9,FALSE),""))</f>
        <v/>
      </c>
      <c r="K85" s="10" t="str">
        <f>IF($B85="","",IFERROR(VLOOKUP($B85,'Типы элементов'!$A$2:$J$15,10,FALSE),""))</f>
        <v/>
      </c>
      <c r="L85" s="6" t="str">
        <f>IF($B85="","",IFERROR(INDEX('Типы элементов'!$L:$L,MATCH($B85,'Типы элементов'!$B:$B,0)),""))</f>
        <v/>
      </c>
      <c r="M85" s="6" t="str">
        <f>IF($B85="","",IFERROR(INDEX('Типы элементов'!$M:$M,MATCH($B85,'Типы элементов'!$B:$B,0)),""))</f>
        <v/>
      </c>
      <c r="N85" s="6" t="str">
        <f>IF($B85="","",IFERROR(INDEX('Типы элементов'!$N:$N,MATCH($B85,'Типы элементов'!$B:$B,0)),""))</f>
        <v/>
      </c>
      <c r="O85" s="6" t="str">
        <f>IF($B85="","",IFERROR(INDEX('Типы элементов'!$O:$O,MATCH($B85,'Типы элементов'!$B:$B,0)),""))</f>
        <v/>
      </c>
      <c r="P85" s="6" t="str">
        <f>IF($B85="","",IFERROR(INDEX('Типы элементов'!$P:$P,MATCH($B85,'Типы элементов'!$B:$B,0)),""))</f>
        <v/>
      </c>
    </row>
    <row r="86" spans="1:16">
      <c r="A86" s="6">
        <v>85</v>
      </c>
      <c r="B86" s="6"/>
      <c r="C86" s="9" t="str">
        <f>IF($B86="","",IFERROR(VLOOKUP($B86,'Типы элементов'!$A$2:$J$15,2,FALSE),""))</f>
        <v/>
      </c>
      <c r="D86" s="9" t="str">
        <f>IF($B86="","",IFERROR(VLOOKUP($B86,'Типы элементов'!$A$2:$J$15,3,FALSE),""))</f>
        <v/>
      </c>
      <c r="E86" s="9" t="str">
        <f>IF($B86="","",IFERROR(VLOOKUP($B86,'Типы элементов'!$A$2:$J$15,4,FALSE),""))</f>
        <v/>
      </c>
      <c r="F86" s="9" t="str">
        <f>IF($B86="","",IFERROR(VLOOKUP($B86,'Типы элементов'!$A$2:$J$15,5,FALSE),""))</f>
        <v/>
      </c>
      <c r="G86" s="9" t="str">
        <f>IF($B86="","",IFERROR(VLOOKUP($B86,'Типы элементов'!$A$2:$J$15,6,FALSE),""))</f>
        <v/>
      </c>
      <c r="H86" s="9" t="str">
        <f>IF($B86="","",IFERROR(VLOOKUP($B86,'Типы элементов'!$A$2:$J$15,7,FALSE),""))</f>
        <v/>
      </c>
      <c r="I86" s="9" t="str">
        <f>IF($B86="","",IFERROR(VLOOKUP($B86,'Типы элементов'!$A$2:$J$15,8,FALSE),""))</f>
        <v/>
      </c>
      <c r="J86" s="9" t="str">
        <f>IF($B86="","",IFERROR(VLOOKUP($B86,'Типы элементов'!$A$2:$J$15,9,FALSE),""))</f>
        <v/>
      </c>
      <c r="K86" s="10" t="str">
        <f>IF($B86="","",IFERROR(VLOOKUP($B86,'Типы элементов'!$A$2:$J$15,10,FALSE),""))</f>
        <v/>
      </c>
      <c r="L86" s="6" t="str">
        <f>IF($B86="","",IFERROR(INDEX('Типы элементов'!$L:$L,MATCH($B86,'Типы элементов'!$B:$B,0)),""))</f>
        <v/>
      </c>
      <c r="M86" s="6" t="str">
        <f>IF($B86="","",IFERROR(INDEX('Типы элементов'!$M:$M,MATCH($B86,'Типы элементов'!$B:$B,0)),""))</f>
        <v/>
      </c>
      <c r="N86" s="6" t="str">
        <f>IF($B86="","",IFERROR(INDEX('Типы элементов'!$N:$N,MATCH($B86,'Типы элементов'!$B:$B,0)),""))</f>
        <v/>
      </c>
      <c r="O86" s="6" t="str">
        <f>IF($B86="","",IFERROR(INDEX('Типы элементов'!$O:$O,MATCH($B86,'Типы элементов'!$B:$B,0)),""))</f>
        <v/>
      </c>
      <c r="P86" s="6" t="str">
        <f>IF($B86="","",IFERROR(INDEX('Типы элементов'!$P:$P,MATCH($B86,'Типы элементов'!$B:$B,0)),""))</f>
        <v/>
      </c>
    </row>
    <row r="87" spans="1:16">
      <c r="A87" s="6">
        <v>86</v>
      </c>
      <c r="B87" s="6"/>
      <c r="C87" s="9" t="str">
        <f>IF($B87="","",IFERROR(VLOOKUP($B87,'Типы элементов'!$A$2:$J$15,2,FALSE),""))</f>
        <v/>
      </c>
      <c r="D87" s="9" t="str">
        <f>IF($B87="","",IFERROR(VLOOKUP($B87,'Типы элементов'!$A$2:$J$15,3,FALSE),""))</f>
        <v/>
      </c>
      <c r="E87" s="9" t="str">
        <f>IF($B87="","",IFERROR(VLOOKUP($B87,'Типы элементов'!$A$2:$J$15,4,FALSE),""))</f>
        <v/>
      </c>
      <c r="F87" s="9" t="str">
        <f>IF($B87="","",IFERROR(VLOOKUP($B87,'Типы элементов'!$A$2:$J$15,5,FALSE),""))</f>
        <v/>
      </c>
      <c r="G87" s="9" t="str">
        <f>IF($B87="","",IFERROR(VLOOKUP($B87,'Типы элементов'!$A$2:$J$15,6,FALSE),""))</f>
        <v/>
      </c>
      <c r="H87" s="9" t="str">
        <f>IF($B87="","",IFERROR(VLOOKUP($B87,'Типы элементов'!$A$2:$J$15,7,FALSE),""))</f>
        <v/>
      </c>
      <c r="I87" s="9" t="str">
        <f>IF($B87="","",IFERROR(VLOOKUP($B87,'Типы элементов'!$A$2:$J$15,8,FALSE),""))</f>
        <v/>
      </c>
      <c r="J87" s="9" t="str">
        <f>IF($B87="","",IFERROR(VLOOKUP($B87,'Типы элементов'!$A$2:$J$15,9,FALSE),""))</f>
        <v/>
      </c>
      <c r="K87" s="10" t="str">
        <f>IF($B87="","",IFERROR(VLOOKUP($B87,'Типы элементов'!$A$2:$J$15,10,FALSE),""))</f>
        <v/>
      </c>
      <c r="L87" s="6" t="str">
        <f>IF($B87="","",IFERROR(INDEX('Типы элементов'!$L:$L,MATCH($B87,'Типы элементов'!$B:$B,0)),""))</f>
        <v/>
      </c>
      <c r="M87" s="6" t="str">
        <f>IF($B87="","",IFERROR(INDEX('Типы элементов'!$M:$M,MATCH($B87,'Типы элементов'!$B:$B,0)),""))</f>
        <v/>
      </c>
      <c r="N87" s="6" t="str">
        <f>IF($B87="","",IFERROR(INDEX('Типы элементов'!$N:$N,MATCH($B87,'Типы элементов'!$B:$B,0)),""))</f>
        <v/>
      </c>
      <c r="O87" s="6" t="str">
        <f>IF($B87="","",IFERROR(INDEX('Типы элементов'!$O:$O,MATCH($B87,'Типы элементов'!$B:$B,0)),""))</f>
        <v/>
      </c>
      <c r="P87" s="6" t="str">
        <f>IF($B87="","",IFERROR(INDEX('Типы элементов'!$P:$P,MATCH($B87,'Типы элементов'!$B:$B,0)),""))</f>
        <v/>
      </c>
    </row>
    <row r="88" spans="1:16">
      <c r="A88" s="6">
        <v>87</v>
      </c>
      <c r="B88" s="6"/>
      <c r="C88" s="9" t="str">
        <f>IF($B88="","",IFERROR(VLOOKUP($B88,'Типы элементов'!$A$2:$J$15,2,FALSE),""))</f>
        <v/>
      </c>
      <c r="D88" s="9" t="str">
        <f>IF($B88="","",IFERROR(VLOOKUP($B88,'Типы элементов'!$A$2:$J$15,3,FALSE),""))</f>
        <v/>
      </c>
      <c r="E88" s="9" t="str">
        <f>IF($B88="","",IFERROR(VLOOKUP($B88,'Типы элементов'!$A$2:$J$15,4,FALSE),""))</f>
        <v/>
      </c>
      <c r="F88" s="9" t="str">
        <f>IF($B88="","",IFERROR(VLOOKUP($B88,'Типы элементов'!$A$2:$J$15,5,FALSE),""))</f>
        <v/>
      </c>
      <c r="G88" s="9" t="str">
        <f>IF($B88="","",IFERROR(VLOOKUP($B88,'Типы элементов'!$A$2:$J$15,6,FALSE),""))</f>
        <v/>
      </c>
      <c r="H88" s="9" t="str">
        <f>IF($B88="","",IFERROR(VLOOKUP($B88,'Типы элементов'!$A$2:$J$15,7,FALSE),""))</f>
        <v/>
      </c>
      <c r="I88" s="9" t="str">
        <f>IF($B88="","",IFERROR(VLOOKUP($B88,'Типы элементов'!$A$2:$J$15,8,FALSE),""))</f>
        <v/>
      </c>
      <c r="J88" s="9" t="str">
        <f>IF($B88="","",IFERROR(VLOOKUP($B88,'Типы элементов'!$A$2:$J$15,9,FALSE),""))</f>
        <v/>
      </c>
      <c r="K88" s="10" t="str">
        <f>IF($B88="","",IFERROR(VLOOKUP($B88,'Типы элементов'!$A$2:$J$15,10,FALSE),""))</f>
        <v/>
      </c>
      <c r="L88" s="6" t="str">
        <f>IF($B88="","",IFERROR(INDEX('Типы элементов'!$L:$L,MATCH($B88,'Типы элементов'!$B:$B,0)),""))</f>
        <v/>
      </c>
      <c r="M88" s="6" t="str">
        <f>IF($B88="","",IFERROR(INDEX('Типы элементов'!$M:$M,MATCH($B88,'Типы элементов'!$B:$B,0)),""))</f>
        <v/>
      </c>
      <c r="N88" s="6" t="str">
        <f>IF($B88="","",IFERROR(INDEX('Типы элементов'!$N:$N,MATCH($B88,'Типы элементов'!$B:$B,0)),""))</f>
        <v/>
      </c>
      <c r="O88" s="6" t="str">
        <f>IF($B88="","",IFERROR(INDEX('Типы элементов'!$O:$O,MATCH($B88,'Типы элементов'!$B:$B,0)),""))</f>
        <v/>
      </c>
      <c r="P88" s="6" t="str">
        <f>IF($B88="","",IFERROR(INDEX('Типы элементов'!$P:$P,MATCH($B88,'Типы элементов'!$B:$B,0)),""))</f>
        <v/>
      </c>
    </row>
    <row r="89" spans="1:16">
      <c r="A89" s="6">
        <v>88</v>
      </c>
      <c r="B89" s="6"/>
      <c r="C89" s="9" t="str">
        <f>IF($B89="","",IFERROR(VLOOKUP($B89,'Типы элементов'!$A$2:$J$15,2,FALSE),""))</f>
        <v/>
      </c>
      <c r="D89" s="9" t="str">
        <f>IF($B89="","",IFERROR(VLOOKUP($B89,'Типы элементов'!$A$2:$J$15,3,FALSE),""))</f>
        <v/>
      </c>
      <c r="E89" s="9" t="str">
        <f>IF($B89="","",IFERROR(VLOOKUP($B89,'Типы элементов'!$A$2:$J$15,4,FALSE),""))</f>
        <v/>
      </c>
      <c r="F89" s="9" t="str">
        <f>IF($B89="","",IFERROR(VLOOKUP($B89,'Типы элементов'!$A$2:$J$15,5,FALSE),""))</f>
        <v/>
      </c>
      <c r="G89" s="9" t="str">
        <f>IF($B89="","",IFERROR(VLOOKUP($B89,'Типы элементов'!$A$2:$J$15,6,FALSE),""))</f>
        <v/>
      </c>
      <c r="H89" s="9" t="str">
        <f>IF($B89="","",IFERROR(VLOOKUP($B89,'Типы элементов'!$A$2:$J$15,7,FALSE),""))</f>
        <v/>
      </c>
      <c r="I89" s="9" t="str">
        <f>IF($B89="","",IFERROR(VLOOKUP($B89,'Типы элементов'!$A$2:$J$15,8,FALSE),""))</f>
        <v/>
      </c>
      <c r="J89" s="9" t="str">
        <f>IF($B89="","",IFERROR(VLOOKUP($B89,'Типы элементов'!$A$2:$J$15,9,FALSE),""))</f>
        <v/>
      </c>
      <c r="K89" s="10" t="str">
        <f>IF($B89="","",IFERROR(VLOOKUP($B89,'Типы элементов'!$A$2:$J$15,10,FALSE),""))</f>
        <v/>
      </c>
      <c r="L89" s="6" t="str">
        <f>IF($B89="","",IFERROR(INDEX('Типы элементов'!$L:$L,MATCH($B89,'Типы элементов'!$B:$B,0)),""))</f>
        <v/>
      </c>
      <c r="M89" s="6" t="str">
        <f>IF($B89="","",IFERROR(INDEX('Типы элементов'!$M:$M,MATCH($B89,'Типы элементов'!$B:$B,0)),""))</f>
        <v/>
      </c>
      <c r="N89" s="6" t="str">
        <f>IF($B89="","",IFERROR(INDEX('Типы элементов'!$N:$N,MATCH($B89,'Типы элементов'!$B:$B,0)),""))</f>
        <v/>
      </c>
      <c r="O89" s="6" t="str">
        <f>IF($B89="","",IFERROR(INDEX('Типы элементов'!$O:$O,MATCH($B89,'Типы элементов'!$B:$B,0)),""))</f>
        <v/>
      </c>
      <c r="P89" s="6" t="str">
        <f>IF($B89="","",IFERROR(INDEX('Типы элементов'!$P:$P,MATCH($B89,'Типы элементов'!$B:$B,0)),""))</f>
        <v/>
      </c>
    </row>
    <row r="90" spans="1:16">
      <c r="A90" s="6">
        <v>89</v>
      </c>
      <c r="B90" s="6"/>
      <c r="C90" s="9" t="str">
        <f>IF($B90="","",IFERROR(VLOOKUP($B90,'Типы элементов'!$A$2:$J$15,2,FALSE),""))</f>
        <v/>
      </c>
      <c r="D90" s="9" t="str">
        <f>IF($B90="","",IFERROR(VLOOKUP($B90,'Типы элементов'!$A$2:$J$15,3,FALSE),""))</f>
        <v/>
      </c>
      <c r="E90" s="9" t="str">
        <f>IF($B90="","",IFERROR(VLOOKUP($B90,'Типы элементов'!$A$2:$J$15,4,FALSE),""))</f>
        <v/>
      </c>
      <c r="F90" s="9" t="str">
        <f>IF($B90="","",IFERROR(VLOOKUP($B90,'Типы элементов'!$A$2:$J$15,5,FALSE),""))</f>
        <v/>
      </c>
      <c r="G90" s="9" t="str">
        <f>IF($B90="","",IFERROR(VLOOKUP($B90,'Типы элементов'!$A$2:$J$15,6,FALSE),""))</f>
        <v/>
      </c>
      <c r="H90" s="9" t="str">
        <f>IF($B90="","",IFERROR(VLOOKUP($B90,'Типы элементов'!$A$2:$J$15,7,FALSE),""))</f>
        <v/>
      </c>
      <c r="I90" s="9" t="str">
        <f>IF($B90="","",IFERROR(VLOOKUP($B90,'Типы элементов'!$A$2:$J$15,8,FALSE),""))</f>
        <v/>
      </c>
      <c r="J90" s="9" t="str">
        <f>IF($B90="","",IFERROR(VLOOKUP($B90,'Типы элементов'!$A$2:$J$15,9,FALSE),""))</f>
        <v/>
      </c>
      <c r="K90" s="10" t="str">
        <f>IF($B90="","",IFERROR(VLOOKUP($B90,'Типы элементов'!$A$2:$J$15,10,FALSE),""))</f>
        <v/>
      </c>
      <c r="L90" s="6" t="str">
        <f>IF($B90="","",IFERROR(INDEX('Типы элементов'!$L:$L,MATCH($B90,'Типы элементов'!$B:$B,0)),""))</f>
        <v/>
      </c>
      <c r="M90" s="6" t="str">
        <f>IF($B90="","",IFERROR(INDEX('Типы элементов'!$M:$M,MATCH($B90,'Типы элементов'!$B:$B,0)),""))</f>
        <v/>
      </c>
      <c r="N90" s="6" t="str">
        <f>IF($B90="","",IFERROR(INDEX('Типы элементов'!$N:$N,MATCH($B90,'Типы элементов'!$B:$B,0)),""))</f>
        <v/>
      </c>
      <c r="O90" s="6" t="str">
        <f>IF($B90="","",IFERROR(INDEX('Типы элементов'!$O:$O,MATCH($B90,'Типы элементов'!$B:$B,0)),""))</f>
        <v/>
      </c>
      <c r="P90" s="6" t="str">
        <f>IF($B90="","",IFERROR(INDEX('Типы элементов'!$P:$P,MATCH($B90,'Типы элементов'!$B:$B,0)),""))</f>
        <v/>
      </c>
    </row>
    <row r="91" spans="1:16">
      <c r="A91" s="6">
        <v>90</v>
      </c>
      <c r="B91" s="6"/>
      <c r="C91" s="9" t="str">
        <f>IF($B91="","",IFERROR(VLOOKUP($B91,'Типы элементов'!$A$2:$J$15,2,FALSE),""))</f>
        <v/>
      </c>
      <c r="D91" s="9" t="str">
        <f>IF($B91="","",IFERROR(VLOOKUP($B91,'Типы элементов'!$A$2:$J$15,3,FALSE),""))</f>
        <v/>
      </c>
      <c r="E91" s="9" t="str">
        <f>IF($B91="","",IFERROR(VLOOKUP($B91,'Типы элементов'!$A$2:$J$15,4,FALSE),""))</f>
        <v/>
      </c>
      <c r="F91" s="9" t="str">
        <f>IF($B91="","",IFERROR(VLOOKUP($B91,'Типы элементов'!$A$2:$J$15,5,FALSE),""))</f>
        <v/>
      </c>
      <c r="G91" s="9" t="str">
        <f>IF($B91="","",IFERROR(VLOOKUP($B91,'Типы элементов'!$A$2:$J$15,6,FALSE),""))</f>
        <v/>
      </c>
      <c r="H91" s="9" t="str">
        <f>IF($B91="","",IFERROR(VLOOKUP($B91,'Типы элементов'!$A$2:$J$15,7,FALSE),""))</f>
        <v/>
      </c>
      <c r="I91" s="9" t="str">
        <f>IF($B91="","",IFERROR(VLOOKUP($B91,'Типы элементов'!$A$2:$J$15,8,FALSE),""))</f>
        <v/>
      </c>
      <c r="J91" s="9" t="str">
        <f>IF($B91="","",IFERROR(VLOOKUP($B91,'Типы элементов'!$A$2:$J$15,9,FALSE),""))</f>
        <v/>
      </c>
      <c r="K91" s="10" t="str">
        <f>IF($B91="","",IFERROR(VLOOKUP($B91,'Типы элементов'!$A$2:$J$15,10,FALSE),""))</f>
        <v/>
      </c>
      <c r="L91" s="6" t="str">
        <f>IF($B91="","",IFERROR(INDEX('Типы элементов'!$L:$L,MATCH($B91,'Типы элементов'!$B:$B,0)),""))</f>
        <v/>
      </c>
      <c r="M91" s="6" t="str">
        <f>IF($B91="","",IFERROR(INDEX('Типы элементов'!$M:$M,MATCH($B91,'Типы элементов'!$B:$B,0)),""))</f>
        <v/>
      </c>
      <c r="N91" s="6" t="str">
        <f>IF($B91="","",IFERROR(INDEX('Типы элементов'!$N:$N,MATCH($B91,'Типы элементов'!$B:$B,0)),""))</f>
        <v/>
      </c>
      <c r="O91" s="6" t="str">
        <f>IF($B91="","",IFERROR(INDEX('Типы элементов'!$O:$O,MATCH($B91,'Типы элементов'!$B:$B,0)),""))</f>
        <v/>
      </c>
      <c r="P91" s="6" t="str">
        <f>IF($B91="","",IFERROR(INDEX('Типы элементов'!$P:$P,MATCH($B91,'Типы элементов'!$B:$B,0)),""))</f>
        <v/>
      </c>
    </row>
    <row r="92" spans="1:16">
      <c r="A92" s="6">
        <v>91</v>
      </c>
      <c r="B92" s="6"/>
      <c r="C92" s="9" t="str">
        <f>IF($B92="","",IFERROR(VLOOKUP($B92,'Типы элементов'!$A$2:$J$15,2,FALSE),""))</f>
        <v/>
      </c>
      <c r="D92" s="9" t="str">
        <f>IF($B92="","",IFERROR(VLOOKUP($B92,'Типы элементов'!$A$2:$J$15,3,FALSE),""))</f>
        <v/>
      </c>
      <c r="E92" s="9" t="str">
        <f>IF($B92="","",IFERROR(VLOOKUP($B92,'Типы элементов'!$A$2:$J$15,4,FALSE),""))</f>
        <v/>
      </c>
      <c r="F92" s="9" t="str">
        <f>IF($B92="","",IFERROR(VLOOKUP($B92,'Типы элементов'!$A$2:$J$15,5,FALSE),""))</f>
        <v/>
      </c>
      <c r="G92" s="9" t="str">
        <f>IF($B92="","",IFERROR(VLOOKUP($B92,'Типы элементов'!$A$2:$J$15,6,FALSE),""))</f>
        <v/>
      </c>
      <c r="H92" s="9" t="str">
        <f>IF($B92="","",IFERROR(VLOOKUP($B92,'Типы элементов'!$A$2:$J$15,7,FALSE),""))</f>
        <v/>
      </c>
      <c r="I92" s="9" t="str">
        <f>IF($B92="","",IFERROR(VLOOKUP($B92,'Типы элементов'!$A$2:$J$15,8,FALSE),""))</f>
        <v/>
      </c>
      <c r="J92" s="9" t="str">
        <f>IF($B92="","",IFERROR(VLOOKUP($B92,'Типы элементов'!$A$2:$J$15,9,FALSE),""))</f>
        <v/>
      </c>
      <c r="K92" s="10" t="str">
        <f>IF($B92="","",IFERROR(VLOOKUP($B92,'Типы элементов'!$A$2:$J$15,10,FALSE),""))</f>
        <v/>
      </c>
      <c r="L92" s="6" t="str">
        <f>IF($B92="","",IFERROR(INDEX('Типы элементов'!$L:$L,MATCH($B92,'Типы элементов'!$B:$B,0)),""))</f>
        <v/>
      </c>
      <c r="M92" s="6" t="str">
        <f>IF($B92="","",IFERROR(INDEX('Типы элементов'!$M:$M,MATCH($B92,'Типы элементов'!$B:$B,0)),""))</f>
        <v/>
      </c>
      <c r="N92" s="6" t="str">
        <f>IF($B92="","",IFERROR(INDEX('Типы элементов'!$N:$N,MATCH($B92,'Типы элементов'!$B:$B,0)),""))</f>
        <v/>
      </c>
      <c r="O92" s="6" t="str">
        <f>IF($B92="","",IFERROR(INDEX('Типы элементов'!$O:$O,MATCH($B92,'Типы элементов'!$B:$B,0)),""))</f>
        <v/>
      </c>
      <c r="P92" s="6" t="str">
        <f>IF($B92="","",IFERROR(INDEX('Типы элементов'!$P:$P,MATCH($B92,'Типы элементов'!$B:$B,0)),""))</f>
        <v/>
      </c>
    </row>
    <row r="93" spans="1:16">
      <c r="A93" s="6">
        <v>92</v>
      </c>
      <c r="B93" s="6"/>
      <c r="C93" s="9" t="str">
        <f>IF($B93="","",IFERROR(VLOOKUP($B93,'Типы элементов'!$A$2:$J$15,2,FALSE),""))</f>
        <v/>
      </c>
      <c r="D93" s="9" t="str">
        <f>IF($B93="","",IFERROR(VLOOKUP($B93,'Типы элементов'!$A$2:$J$15,3,FALSE),""))</f>
        <v/>
      </c>
      <c r="E93" s="9" t="str">
        <f>IF($B93="","",IFERROR(VLOOKUP($B93,'Типы элементов'!$A$2:$J$15,4,FALSE),""))</f>
        <v/>
      </c>
      <c r="F93" s="9" t="str">
        <f>IF($B93="","",IFERROR(VLOOKUP($B93,'Типы элементов'!$A$2:$J$15,5,FALSE),""))</f>
        <v/>
      </c>
      <c r="G93" s="9" t="str">
        <f>IF($B93="","",IFERROR(VLOOKUP($B93,'Типы элементов'!$A$2:$J$15,6,FALSE),""))</f>
        <v/>
      </c>
      <c r="H93" s="9" t="str">
        <f>IF($B93="","",IFERROR(VLOOKUP($B93,'Типы элементов'!$A$2:$J$15,7,FALSE),""))</f>
        <v/>
      </c>
      <c r="I93" s="9" t="str">
        <f>IF($B93="","",IFERROR(VLOOKUP($B93,'Типы элементов'!$A$2:$J$15,8,FALSE),""))</f>
        <v/>
      </c>
      <c r="J93" s="9" t="str">
        <f>IF($B93="","",IFERROR(VLOOKUP($B93,'Типы элементов'!$A$2:$J$15,9,FALSE),""))</f>
        <v/>
      </c>
      <c r="K93" s="10" t="str">
        <f>IF($B93="","",IFERROR(VLOOKUP($B93,'Типы элементов'!$A$2:$J$15,10,FALSE),""))</f>
        <v/>
      </c>
      <c r="L93" s="6" t="str">
        <f>IF($B93="","",IFERROR(INDEX('Типы элементов'!$L:$L,MATCH($B93,'Типы элементов'!$B:$B,0)),""))</f>
        <v/>
      </c>
      <c r="M93" s="6" t="str">
        <f>IF($B93="","",IFERROR(INDEX('Типы элементов'!$M:$M,MATCH($B93,'Типы элементов'!$B:$B,0)),""))</f>
        <v/>
      </c>
      <c r="N93" s="6" t="str">
        <f>IF($B93="","",IFERROR(INDEX('Типы элементов'!$N:$N,MATCH($B93,'Типы элементов'!$B:$B,0)),""))</f>
        <v/>
      </c>
      <c r="O93" s="6" t="str">
        <f>IF($B93="","",IFERROR(INDEX('Типы элементов'!$O:$O,MATCH($B93,'Типы элементов'!$B:$B,0)),""))</f>
        <v/>
      </c>
      <c r="P93" s="6" t="str">
        <f>IF($B93="","",IFERROR(INDEX('Типы элементов'!$P:$P,MATCH($B93,'Типы элементов'!$B:$B,0)),""))</f>
        <v/>
      </c>
    </row>
    <row r="94" spans="1:16">
      <c r="A94" s="6">
        <v>93</v>
      </c>
      <c r="B94" s="6"/>
      <c r="C94" s="9" t="str">
        <f>IF($B94="","",IFERROR(VLOOKUP($B94,'Типы элементов'!$A$2:$J$15,2,FALSE),""))</f>
        <v/>
      </c>
      <c r="D94" s="9" t="str">
        <f>IF($B94="","",IFERROR(VLOOKUP($B94,'Типы элементов'!$A$2:$J$15,3,FALSE),""))</f>
        <v/>
      </c>
      <c r="E94" s="9" t="str">
        <f>IF($B94="","",IFERROR(VLOOKUP($B94,'Типы элементов'!$A$2:$J$15,4,FALSE),""))</f>
        <v/>
      </c>
      <c r="F94" s="9" t="str">
        <f>IF($B94="","",IFERROR(VLOOKUP($B94,'Типы элементов'!$A$2:$J$15,5,FALSE),""))</f>
        <v/>
      </c>
      <c r="G94" s="9" t="str">
        <f>IF($B94="","",IFERROR(VLOOKUP($B94,'Типы элементов'!$A$2:$J$15,6,FALSE),""))</f>
        <v/>
      </c>
      <c r="H94" s="9" t="str">
        <f>IF($B94="","",IFERROR(VLOOKUP($B94,'Типы элементов'!$A$2:$J$15,7,FALSE),""))</f>
        <v/>
      </c>
      <c r="I94" s="9" t="str">
        <f>IF($B94="","",IFERROR(VLOOKUP($B94,'Типы элементов'!$A$2:$J$15,8,FALSE),""))</f>
        <v/>
      </c>
      <c r="J94" s="9" t="str">
        <f>IF($B94="","",IFERROR(VLOOKUP($B94,'Типы элементов'!$A$2:$J$15,9,FALSE),""))</f>
        <v/>
      </c>
      <c r="K94" s="10" t="str">
        <f>IF($B94="","",IFERROR(VLOOKUP($B94,'Типы элементов'!$A$2:$J$15,10,FALSE),""))</f>
        <v/>
      </c>
      <c r="L94" s="6" t="str">
        <f>IF($B94="","",IFERROR(INDEX('Типы элементов'!$L:$L,MATCH($B94,'Типы элементов'!$B:$B,0)),""))</f>
        <v/>
      </c>
      <c r="M94" s="6" t="str">
        <f>IF($B94="","",IFERROR(INDEX('Типы элементов'!$M:$M,MATCH($B94,'Типы элементов'!$B:$B,0)),""))</f>
        <v/>
      </c>
      <c r="N94" s="6" t="str">
        <f>IF($B94="","",IFERROR(INDEX('Типы элементов'!$N:$N,MATCH($B94,'Типы элементов'!$B:$B,0)),""))</f>
        <v/>
      </c>
      <c r="O94" s="6" t="str">
        <f>IF($B94="","",IFERROR(INDEX('Типы элементов'!$O:$O,MATCH($B94,'Типы элементов'!$B:$B,0)),""))</f>
        <v/>
      </c>
      <c r="P94" s="6" t="str">
        <f>IF($B94="","",IFERROR(INDEX('Типы элементов'!$P:$P,MATCH($B94,'Типы элементов'!$B:$B,0)),""))</f>
        <v/>
      </c>
    </row>
    <row r="95" spans="1:16">
      <c r="A95" s="6">
        <v>94</v>
      </c>
      <c r="B95" s="6"/>
      <c r="C95" s="9" t="str">
        <f>IF($B95="","",IFERROR(VLOOKUP($B95,'Типы элементов'!$A$2:$J$15,2,FALSE),""))</f>
        <v/>
      </c>
      <c r="D95" s="9" t="str">
        <f>IF($B95="","",IFERROR(VLOOKUP($B95,'Типы элементов'!$A$2:$J$15,3,FALSE),""))</f>
        <v/>
      </c>
      <c r="E95" s="9" t="str">
        <f>IF($B95="","",IFERROR(VLOOKUP($B95,'Типы элементов'!$A$2:$J$15,4,FALSE),""))</f>
        <v/>
      </c>
      <c r="F95" s="9" t="str">
        <f>IF($B95="","",IFERROR(VLOOKUP($B95,'Типы элементов'!$A$2:$J$15,5,FALSE),""))</f>
        <v/>
      </c>
      <c r="G95" s="9" t="str">
        <f>IF($B95="","",IFERROR(VLOOKUP($B95,'Типы элементов'!$A$2:$J$15,6,FALSE),""))</f>
        <v/>
      </c>
      <c r="H95" s="9" t="str">
        <f>IF($B95="","",IFERROR(VLOOKUP($B95,'Типы элементов'!$A$2:$J$15,7,FALSE),""))</f>
        <v/>
      </c>
      <c r="I95" s="9" t="str">
        <f>IF($B95="","",IFERROR(VLOOKUP($B95,'Типы элементов'!$A$2:$J$15,8,FALSE),""))</f>
        <v/>
      </c>
      <c r="J95" s="9" t="str">
        <f>IF($B95="","",IFERROR(VLOOKUP($B95,'Типы элементов'!$A$2:$J$15,9,FALSE),""))</f>
        <v/>
      </c>
      <c r="K95" s="10" t="str">
        <f>IF($B95="","",IFERROR(VLOOKUP($B95,'Типы элементов'!$A$2:$J$15,10,FALSE),""))</f>
        <v/>
      </c>
      <c r="L95" s="6" t="str">
        <f>IF($B95="","",IFERROR(INDEX('Типы элементов'!$L:$L,MATCH($B95,'Типы элементов'!$B:$B,0)),""))</f>
        <v/>
      </c>
      <c r="M95" s="6" t="str">
        <f>IF($B95="","",IFERROR(INDEX('Типы элементов'!$M:$M,MATCH($B95,'Типы элементов'!$B:$B,0)),""))</f>
        <v/>
      </c>
      <c r="N95" s="6" t="str">
        <f>IF($B95="","",IFERROR(INDEX('Типы элементов'!$N:$N,MATCH($B95,'Типы элементов'!$B:$B,0)),""))</f>
        <v/>
      </c>
      <c r="O95" s="6" t="str">
        <f>IF($B95="","",IFERROR(INDEX('Типы элементов'!$O:$O,MATCH($B95,'Типы элементов'!$B:$B,0)),""))</f>
        <v/>
      </c>
      <c r="P95" s="6" t="str">
        <f>IF($B95="","",IFERROR(INDEX('Типы элементов'!$P:$P,MATCH($B95,'Типы элементов'!$B:$B,0)),""))</f>
        <v/>
      </c>
    </row>
    <row r="96" spans="1:16">
      <c r="A96" s="6">
        <v>95</v>
      </c>
      <c r="B96" s="6"/>
      <c r="C96" s="9" t="str">
        <f>IF($B96="","",IFERROR(VLOOKUP($B96,'Типы элементов'!$A$2:$J$15,2,FALSE),""))</f>
        <v/>
      </c>
      <c r="D96" s="9" t="str">
        <f>IF($B96="","",IFERROR(VLOOKUP($B96,'Типы элементов'!$A$2:$J$15,3,FALSE),""))</f>
        <v/>
      </c>
      <c r="E96" s="9" t="str">
        <f>IF($B96="","",IFERROR(VLOOKUP($B96,'Типы элементов'!$A$2:$J$15,4,FALSE),""))</f>
        <v/>
      </c>
      <c r="F96" s="9" t="str">
        <f>IF($B96="","",IFERROR(VLOOKUP($B96,'Типы элементов'!$A$2:$J$15,5,FALSE),""))</f>
        <v/>
      </c>
      <c r="G96" s="9" t="str">
        <f>IF($B96="","",IFERROR(VLOOKUP($B96,'Типы элементов'!$A$2:$J$15,6,FALSE),""))</f>
        <v/>
      </c>
      <c r="H96" s="9" t="str">
        <f>IF($B96="","",IFERROR(VLOOKUP($B96,'Типы элементов'!$A$2:$J$15,7,FALSE),""))</f>
        <v/>
      </c>
      <c r="I96" s="9" t="str">
        <f>IF($B96="","",IFERROR(VLOOKUP($B96,'Типы элементов'!$A$2:$J$15,8,FALSE),""))</f>
        <v/>
      </c>
      <c r="J96" s="9" t="str">
        <f>IF($B96="","",IFERROR(VLOOKUP($B96,'Типы элементов'!$A$2:$J$15,9,FALSE),""))</f>
        <v/>
      </c>
      <c r="K96" s="10" t="str">
        <f>IF($B96="","",IFERROR(VLOOKUP($B96,'Типы элементов'!$A$2:$J$15,10,FALSE),""))</f>
        <v/>
      </c>
      <c r="L96" s="6" t="str">
        <f>IF($B96="","",IFERROR(INDEX('Типы элементов'!$L:$L,MATCH($B96,'Типы элементов'!$B:$B,0)),""))</f>
        <v/>
      </c>
      <c r="M96" s="6" t="str">
        <f>IF($B96="","",IFERROR(INDEX('Типы элементов'!$M:$M,MATCH($B96,'Типы элементов'!$B:$B,0)),""))</f>
        <v/>
      </c>
      <c r="N96" s="6" t="str">
        <f>IF($B96="","",IFERROR(INDEX('Типы элементов'!$N:$N,MATCH($B96,'Типы элементов'!$B:$B,0)),""))</f>
        <v/>
      </c>
      <c r="O96" s="6" t="str">
        <f>IF($B96="","",IFERROR(INDEX('Типы элементов'!$O:$O,MATCH($B96,'Типы элементов'!$B:$B,0)),""))</f>
        <v/>
      </c>
      <c r="P96" s="6" t="str">
        <f>IF($B96="","",IFERROR(INDEX('Типы элементов'!$P:$P,MATCH($B96,'Типы элементов'!$B:$B,0)),""))</f>
        <v/>
      </c>
    </row>
    <row r="97" spans="1:16">
      <c r="A97" s="6">
        <v>96</v>
      </c>
      <c r="B97" s="6"/>
      <c r="C97" s="9" t="str">
        <f>IF($B97="","",IFERROR(VLOOKUP($B97,'Типы элементов'!$A$2:$J$15,2,FALSE),""))</f>
        <v/>
      </c>
      <c r="D97" s="9" t="str">
        <f>IF($B97="","",IFERROR(VLOOKUP($B97,'Типы элементов'!$A$2:$J$15,3,FALSE),""))</f>
        <v/>
      </c>
      <c r="E97" s="9" t="str">
        <f>IF($B97="","",IFERROR(VLOOKUP($B97,'Типы элементов'!$A$2:$J$15,4,FALSE),""))</f>
        <v/>
      </c>
      <c r="F97" s="9" t="str">
        <f>IF($B97="","",IFERROR(VLOOKUP($B97,'Типы элементов'!$A$2:$J$15,5,FALSE),""))</f>
        <v/>
      </c>
      <c r="G97" s="9" t="str">
        <f>IF($B97="","",IFERROR(VLOOKUP($B97,'Типы элементов'!$A$2:$J$15,6,FALSE),""))</f>
        <v/>
      </c>
      <c r="H97" s="9" t="str">
        <f>IF($B97="","",IFERROR(VLOOKUP($B97,'Типы элементов'!$A$2:$J$15,7,FALSE),""))</f>
        <v/>
      </c>
      <c r="I97" s="9" t="str">
        <f>IF($B97="","",IFERROR(VLOOKUP($B97,'Типы элементов'!$A$2:$J$15,8,FALSE),""))</f>
        <v/>
      </c>
      <c r="J97" s="9" t="str">
        <f>IF($B97="","",IFERROR(VLOOKUP($B97,'Типы элементов'!$A$2:$J$15,9,FALSE),""))</f>
        <v/>
      </c>
      <c r="K97" s="10" t="str">
        <f>IF($B97="","",IFERROR(VLOOKUP($B97,'Типы элементов'!$A$2:$J$15,10,FALSE),""))</f>
        <v/>
      </c>
      <c r="L97" s="6" t="str">
        <f>IF($B97="","",IFERROR(INDEX('Типы элементов'!$L:$L,MATCH($B97,'Типы элементов'!$B:$B,0)),""))</f>
        <v/>
      </c>
      <c r="M97" s="6" t="str">
        <f>IF($B97="","",IFERROR(INDEX('Типы элементов'!$M:$M,MATCH($B97,'Типы элементов'!$B:$B,0)),""))</f>
        <v/>
      </c>
      <c r="N97" s="6" t="str">
        <f>IF($B97="","",IFERROR(INDEX('Типы элементов'!$N:$N,MATCH($B97,'Типы элементов'!$B:$B,0)),""))</f>
        <v/>
      </c>
      <c r="O97" s="6" t="str">
        <f>IF($B97="","",IFERROR(INDEX('Типы элементов'!$O:$O,MATCH($B97,'Типы элементов'!$B:$B,0)),""))</f>
        <v/>
      </c>
      <c r="P97" s="6" t="str">
        <f>IF($B97="","",IFERROR(INDEX('Типы элементов'!$P:$P,MATCH($B97,'Типы элементов'!$B:$B,0)),""))</f>
        <v/>
      </c>
    </row>
    <row r="98" spans="1:16">
      <c r="A98" s="6">
        <v>97</v>
      </c>
      <c r="B98" s="6"/>
      <c r="C98" s="9" t="str">
        <f>IF($B98="","",IFERROR(VLOOKUP($B98,'Типы элементов'!$A$2:$J$15,2,FALSE),""))</f>
        <v/>
      </c>
      <c r="D98" s="9" t="str">
        <f>IF($B98="","",IFERROR(VLOOKUP($B98,'Типы элементов'!$A$2:$J$15,3,FALSE),""))</f>
        <v/>
      </c>
      <c r="E98" s="9" t="str">
        <f>IF($B98="","",IFERROR(VLOOKUP($B98,'Типы элементов'!$A$2:$J$15,4,FALSE),""))</f>
        <v/>
      </c>
      <c r="F98" s="9" t="str">
        <f>IF($B98="","",IFERROR(VLOOKUP($B98,'Типы элементов'!$A$2:$J$15,5,FALSE),""))</f>
        <v/>
      </c>
      <c r="G98" s="9" t="str">
        <f>IF($B98="","",IFERROR(VLOOKUP($B98,'Типы элементов'!$A$2:$J$15,6,FALSE),""))</f>
        <v/>
      </c>
      <c r="H98" s="9" t="str">
        <f>IF($B98="","",IFERROR(VLOOKUP($B98,'Типы элементов'!$A$2:$J$15,7,FALSE),""))</f>
        <v/>
      </c>
      <c r="I98" s="9" t="str">
        <f>IF($B98="","",IFERROR(VLOOKUP($B98,'Типы элементов'!$A$2:$J$15,8,FALSE),""))</f>
        <v/>
      </c>
      <c r="J98" s="9" t="str">
        <f>IF($B98="","",IFERROR(VLOOKUP($B98,'Типы элементов'!$A$2:$J$15,9,FALSE),""))</f>
        <v/>
      </c>
      <c r="K98" s="10" t="str">
        <f>IF($B98="","",IFERROR(VLOOKUP($B98,'Типы элементов'!$A$2:$J$15,10,FALSE),""))</f>
        <v/>
      </c>
      <c r="L98" s="6" t="str">
        <f>IF($B98="","",IFERROR(INDEX('Типы элементов'!$L:$L,MATCH($B98,'Типы элементов'!$B:$B,0)),""))</f>
        <v/>
      </c>
      <c r="M98" s="6" t="str">
        <f>IF($B98="","",IFERROR(INDEX('Типы элементов'!$M:$M,MATCH($B98,'Типы элементов'!$B:$B,0)),""))</f>
        <v/>
      </c>
      <c r="N98" s="6" t="str">
        <f>IF($B98="","",IFERROR(INDEX('Типы элементов'!$N:$N,MATCH($B98,'Типы элементов'!$B:$B,0)),""))</f>
        <v/>
      </c>
      <c r="O98" s="6" t="str">
        <f>IF($B98="","",IFERROR(INDEX('Типы элементов'!$O:$O,MATCH($B98,'Типы элементов'!$B:$B,0)),""))</f>
        <v/>
      </c>
      <c r="P98" s="6" t="str">
        <f>IF($B98="","",IFERROR(INDEX('Типы элементов'!$P:$P,MATCH($B98,'Типы элементов'!$B:$B,0)),""))</f>
        <v/>
      </c>
    </row>
    <row r="99" spans="1:16">
      <c r="A99" s="6">
        <v>98</v>
      </c>
      <c r="B99" s="6"/>
      <c r="C99" s="9" t="str">
        <f>IF($B99="","",IFERROR(VLOOKUP($B99,'Типы элементов'!$A$2:$J$15,2,FALSE),""))</f>
        <v/>
      </c>
      <c r="D99" s="9" t="str">
        <f>IF($B99="","",IFERROR(VLOOKUP($B99,'Типы элементов'!$A$2:$J$15,3,FALSE),""))</f>
        <v/>
      </c>
      <c r="E99" s="9" t="str">
        <f>IF($B99="","",IFERROR(VLOOKUP($B99,'Типы элементов'!$A$2:$J$15,4,FALSE),""))</f>
        <v/>
      </c>
      <c r="F99" s="9" t="str">
        <f>IF($B99="","",IFERROR(VLOOKUP($B99,'Типы элементов'!$A$2:$J$15,5,FALSE),""))</f>
        <v/>
      </c>
      <c r="G99" s="9" t="str">
        <f>IF($B99="","",IFERROR(VLOOKUP($B99,'Типы элементов'!$A$2:$J$15,6,FALSE),""))</f>
        <v/>
      </c>
      <c r="H99" s="9" t="str">
        <f>IF($B99="","",IFERROR(VLOOKUP($B99,'Типы элементов'!$A$2:$J$15,7,FALSE),""))</f>
        <v/>
      </c>
      <c r="I99" s="9" t="str">
        <f>IF($B99="","",IFERROR(VLOOKUP($B99,'Типы элементов'!$A$2:$J$15,8,FALSE),""))</f>
        <v/>
      </c>
      <c r="J99" s="9" t="str">
        <f>IF($B99="","",IFERROR(VLOOKUP($B99,'Типы элементов'!$A$2:$J$15,9,FALSE),""))</f>
        <v/>
      </c>
      <c r="K99" s="10" t="str">
        <f>IF($B99="","",IFERROR(VLOOKUP($B99,'Типы элементов'!$A$2:$J$15,10,FALSE),""))</f>
        <v/>
      </c>
      <c r="L99" s="6" t="str">
        <f>IF($B99="","",IFERROR(INDEX('Типы элементов'!$L:$L,MATCH($B99,'Типы элементов'!$B:$B,0)),""))</f>
        <v/>
      </c>
      <c r="M99" s="6" t="str">
        <f>IF($B99="","",IFERROR(INDEX('Типы элементов'!$M:$M,MATCH($B99,'Типы элементов'!$B:$B,0)),""))</f>
        <v/>
      </c>
      <c r="N99" s="6" t="str">
        <f>IF($B99="","",IFERROR(INDEX('Типы элементов'!$N:$N,MATCH($B99,'Типы элементов'!$B:$B,0)),""))</f>
        <v/>
      </c>
      <c r="O99" s="6" t="str">
        <f>IF($B99="","",IFERROR(INDEX('Типы элементов'!$O:$O,MATCH($B99,'Типы элементов'!$B:$B,0)),""))</f>
        <v/>
      </c>
      <c r="P99" s="6" t="str">
        <f>IF($B99="","",IFERROR(INDEX('Типы элементов'!$P:$P,MATCH($B99,'Типы элементов'!$B:$B,0)),""))</f>
        <v/>
      </c>
    </row>
    <row r="100" spans="1:16">
      <c r="A100" s="6">
        <v>99</v>
      </c>
      <c r="B100" s="6"/>
      <c r="C100" s="9" t="str">
        <f>IF($B100="","",IFERROR(VLOOKUP($B100,'Типы элементов'!$A$2:$J$15,2,FALSE),""))</f>
        <v/>
      </c>
      <c r="D100" s="9" t="str">
        <f>IF($B100="","",IFERROR(VLOOKUP($B100,'Типы элементов'!$A$2:$J$15,3,FALSE),""))</f>
        <v/>
      </c>
      <c r="E100" s="9" t="str">
        <f>IF($B100="","",IFERROR(VLOOKUP($B100,'Типы элементов'!$A$2:$J$15,4,FALSE),""))</f>
        <v/>
      </c>
      <c r="F100" s="9" t="str">
        <f>IF($B100="","",IFERROR(VLOOKUP($B100,'Типы элементов'!$A$2:$J$15,5,FALSE),""))</f>
        <v/>
      </c>
      <c r="G100" s="9" t="str">
        <f>IF($B100="","",IFERROR(VLOOKUP($B100,'Типы элементов'!$A$2:$J$15,6,FALSE),""))</f>
        <v/>
      </c>
      <c r="H100" s="9" t="str">
        <f>IF($B100="","",IFERROR(VLOOKUP($B100,'Типы элементов'!$A$2:$J$15,7,FALSE),""))</f>
        <v/>
      </c>
      <c r="I100" s="9" t="str">
        <f>IF($B100="","",IFERROR(VLOOKUP($B100,'Типы элементов'!$A$2:$J$15,8,FALSE),""))</f>
        <v/>
      </c>
      <c r="J100" s="9" t="str">
        <f>IF($B100="","",IFERROR(VLOOKUP($B100,'Типы элементов'!$A$2:$J$15,9,FALSE),""))</f>
        <v/>
      </c>
      <c r="K100" s="10" t="str">
        <f>IF($B100="","",IFERROR(VLOOKUP($B100,'Типы элементов'!$A$2:$J$15,10,FALSE),""))</f>
        <v/>
      </c>
      <c r="L100" s="6" t="str">
        <f>IF($B100="","",IFERROR(INDEX('Типы элементов'!$L:$L,MATCH($B100,'Типы элементов'!$B:$B,0)),""))</f>
        <v/>
      </c>
      <c r="M100" s="6" t="str">
        <f>IF($B100="","",IFERROR(INDEX('Типы элементов'!$M:$M,MATCH($B100,'Типы элементов'!$B:$B,0)),""))</f>
        <v/>
      </c>
      <c r="N100" s="6" t="str">
        <f>IF($B100="","",IFERROR(INDEX('Типы элементов'!$N:$N,MATCH($B100,'Типы элементов'!$B:$B,0)),""))</f>
        <v/>
      </c>
      <c r="O100" s="6" t="str">
        <f>IF($B100="","",IFERROR(INDEX('Типы элементов'!$O:$O,MATCH($B100,'Типы элементов'!$B:$B,0)),""))</f>
        <v/>
      </c>
      <c r="P100" s="6" t="str">
        <f>IF($B100="","",IFERROR(INDEX('Типы элементов'!$P:$P,MATCH($B100,'Типы элементов'!$B:$B,0)),""))</f>
        <v/>
      </c>
    </row>
    <row r="101" spans="1:16">
      <c r="A101" s="6">
        <v>100</v>
      </c>
      <c r="B101" s="6"/>
      <c r="C101" s="9" t="str">
        <f>IF($B101="","",IFERROR(VLOOKUP($B101,'Типы элементов'!$A$2:$J$15,2,FALSE),""))</f>
        <v/>
      </c>
      <c r="D101" s="9" t="str">
        <f>IF($B101="","",IFERROR(VLOOKUP($B101,'Типы элементов'!$A$2:$J$15,3,FALSE),""))</f>
        <v/>
      </c>
      <c r="E101" s="9" t="str">
        <f>IF($B101="","",IFERROR(VLOOKUP($B101,'Типы элементов'!$A$2:$J$15,4,FALSE),""))</f>
        <v/>
      </c>
      <c r="F101" s="9" t="str">
        <f>IF($B101="","",IFERROR(VLOOKUP($B101,'Типы элементов'!$A$2:$J$15,5,FALSE),""))</f>
        <v/>
      </c>
      <c r="G101" s="9" t="str">
        <f>IF($B101="","",IFERROR(VLOOKUP($B101,'Типы элементов'!$A$2:$J$15,6,FALSE),""))</f>
        <v/>
      </c>
      <c r="H101" s="9" t="str">
        <f>IF($B101="","",IFERROR(VLOOKUP($B101,'Типы элементов'!$A$2:$J$15,7,FALSE),""))</f>
        <v/>
      </c>
      <c r="I101" s="9" t="str">
        <f>IF($B101="","",IFERROR(VLOOKUP($B101,'Типы элементов'!$A$2:$J$15,8,FALSE),""))</f>
        <v/>
      </c>
      <c r="J101" s="9" t="str">
        <f>IF($B101="","",IFERROR(VLOOKUP($B101,'Типы элементов'!$A$2:$J$15,9,FALSE),""))</f>
        <v/>
      </c>
      <c r="K101" s="10" t="str">
        <f>IF($B101="","",IFERROR(VLOOKUP($B101,'Типы элементов'!$A$2:$J$15,10,FALSE),""))</f>
        <v/>
      </c>
      <c r="L101" s="6" t="str">
        <f>IF($B101="","",IFERROR(INDEX('Типы элементов'!$L:$L,MATCH($B101,'Типы элементов'!$B:$B,0)),""))</f>
        <v/>
      </c>
      <c r="M101" s="6" t="str">
        <f>IF($B101="","",IFERROR(INDEX('Типы элементов'!$M:$M,MATCH($B101,'Типы элементов'!$B:$B,0)),""))</f>
        <v/>
      </c>
      <c r="N101" s="6" t="str">
        <f>IF($B101="","",IFERROR(INDEX('Типы элементов'!$N:$N,MATCH($B101,'Типы элементов'!$B:$B,0)),""))</f>
        <v/>
      </c>
      <c r="O101" s="6" t="str">
        <f>IF($B101="","",IFERROR(INDEX('Типы элементов'!$O:$O,MATCH($B101,'Типы элементов'!$B:$B,0)),""))</f>
        <v/>
      </c>
      <c r="P101" s="6" t="str">
        <f>IF($B101="","",IFERROR(INDEX('Типы элементов'!$P:$P,MATCH($B101,'Типы элементов'!$B:$B,0)),""))</f>
        <v/>
      </c>
    </row>
    <row r="102" spans="1:16">
      <c r="A102" s="6"/>
      <c r="B102" s="6"/>
      <c r="C102" s="9" t="str">
        <f>IF($B102="","",IFERROR(VLOOKUP($B102,'Типы элементов'!$A$2:$J$15,2,FALSE),""))</f>
        <v/>
      </c>
      <c r="D102" s="9" t="str">
        <f>IF($B102="","",IFERROR(VLOOKUP($B102,'Типы элементов'!$A$2:$J$15,3,FALSE),""))</f>
        <v/>
      </c>
      <c r="E102" s="9" t="str">
        <f>IF($B102="","",IFERROR(VLOOKUP($B102,'Типы элементов'!$A$2:$J$15,4,FALSE),""))</f>
        <v/>
      </c>
      <c r="F102" s="9" t="str">
        <f>IF($B102="","",IFERROR(VLOOKUP($B102,'Типы элементов'!$A$2:$J$15,5,FALSE),""))</f>
        <v/>
      </c>
      <c r="G102" s="9" t="str">
        <f>IF($B102="","",IFERROR(VLOOKUP($B102,'Типы элементов'!$A$2:$J$15,6,FALSE),""))</f>
        <v/>
      </c>
      <c r="H102" s="9" t="str">
        <f>IF($B102="","",IFERROR(VLOOKUP($B102,'Типы элементов'!$A$2:$J$15,7,FALSE),""))</f>
        <v/>
      </c>
      <c r="I102" s="9" t="str">
        <f>IF($B102="","",IFERROR(VLOOKUP($B102,'Типы элементов'!$A$2:$J$15,8,FALSE),""))</f>
        <v/>
      </c>
      <c r="J102" s="9" t="str">
        <f>IF($B102="","",IFERROR(VLOOKUP($B102,'Типы элементов'!$A$2:$J$15,9,FALSE),""))</f>
        <v/>
      </c>
      <c r="K102" s="10" t="str">
        <f>IF($B102="","",IFERROR(VLOOKUP($B102,'Типы элементов'!$A$2:$J$15,10,FALSE),""))</f>
        <v/>
      </c>
      <c r="L102" s="6"/>
      <c r="M102" s="6"/>
      <c r="N102" s="6"/>
      <c r="O102" s="6"/>
      <c r="P102" s="6"/>
    </row>
    <row r="103" spans="1:16">
      <c r="A103" s="6"/>
      <c r="B103" s="6"/>
      <c r="C103" s="9" t="str">
        <f>IF($B103="","",IFERROR(VLOOKUP($B103,'Типы элементов'!$A$2:$J$15,2,FALSE),""))</f>
        <v/>
      </c>
      <c r="D103" s="9" t="str">
        <f>IF($B103="","",IFERROR(VLOOKUP($B103,'Типы элементов'!$A$2:$J$15,3,FALSE),""))</f>
        <v/>
      </c>
      <c r="E103" s="9" t="str">
        <f>IF($B103="","",IFERROR(VLOOKUP($B103,'Типы элементов'!$A$2:$J$15,4,FALSE),""))</f>
        <v/>
      </c>
      <c r="F103" s="9" t="str">
        <f>IF($B103="","",IFERROR(VLOOKUP($B103,'Типы элементов'!$A$2:$J$15,5,FALSE),""))</f>
        <v/>
      </c>
      <c r="G103" s="9" t="str">
        <f>IF($B103="","",IFERROR(VLOOKUP($B103,'Типы элементов'!$A$2:$J$15,6,FALSE),""))</f>
        <v/>
      </c>
      <c r="H103" s="9" t="str">
        <f>IF($B103="","",IFERROR(VLOOKUP($B103,'Типы элементов'!$A$2:$J$15,7,FALSE),""))</f>
        <v/>
      </c>
      <c r="I103" s="9" t="str">
        <f>IF($B103="","",IFERROR(VLOOKUP($B103,'Типы элементов'!$A$2:$J$15,8,FALSE),""))</f>
        <v/>
      </c>
      <c r="J103" s="9" t="str">
        <f>IF($B103="","",IFERROR(VLOOKUP($B103,'Типы элементов'!$A$2:$J$15,9,FALSE),""))</f>
        <v/>
      </c>
      <c r="K103" s="10" t="str">
        <f>IF($B103="","",IFERROR(VLOOKUP($B103,'Типы элементов'!$A$2:$J$15,10,FALSE),""))</f>
        <v/>
      </c>
      <c r="L103" s="6"/>
      <c r="M103" s="6"/>
      <c r="N103" s="6"/>
      <c r="O103" s="6"/>
      <c r="P103" s="6"/>
    </row>
    <row r="104" spans="1:16">
      <c r="A104" s="6"/>
      <c r="B104" s="6"/>
      <c r="C104" s="9" t="str">
        <f>IF($B104="","",IFERROR(VLOOKUP($B104,'Типы элементов'!$A$2:$J$15,2,FALSE),""))</f>
        <v/>
      </c>
      <c r="D104" s="9" t="str">
        <f>IF($B104="","",IFERROR(VLOOKUP($B104,'Типы элементов'!$A$2:$J$15,3,FALSE),""))</f>
        <v/>
      </c>
      <c r="E104" s="9" t="str">
        <f>IF($B104="","",IFERROR(VLOOKUP($B104,'Типы элементов'!$A$2:$J$15,4,FALSE),""))</f>
        <v/>
      </c>
      <c r="F104" s="9" t="str">
        <f>IF($B104="","",IFERROR(VLOOKUP($B104,'Типы элементов'!$A$2:$J$15,5,FALSE),""))</f>
        <v/>
      </c>
      <c r="G104" s="9" t="str">
        <f>IF($B104="","",IFERROR(VLOOKUP($B104,'Типы элементов'!$A$2:$J$15,6,FALSE),""))</f>
        <v/>
      </c>
      <c r="H104" s="9" t="str">
        <f>IF($B104="","",IFERROR(VLOOKUP($B104,'Типы элементов'!$A$2:$J$15,7,FALSE),""))</f>
        <v/>
      </c>
      <c r="I104" s="9" t="str">
        <f>IF($B104="","",IFERROR(VLOOKUP($B104,'Типы элементов'!$A$2:$J$15,8,FALSE),""))</f>
        <v/>
      </c>
      <c r="J104" s="9" t="str">
        <f>IF($B104="","",IFERROR(VLOOKUP($B104,'Типы элементов'!$A$2:$J$15,9,FALSE),""))</f>
        <v/>
      </c>
      <c r="K104" s="10" t="str">
        <f>IF($B104="","",IFERROR(VLOOKUP($B104,'Типы элементов'!$A$2:$J$15,10,FALSE),""))</f>
        <v/>
      </c>
      <c r="L104" s="6"/>
      <c r="M104" s="6"/>
      <c r="N104" s="6"/>
      <c r="O104" s="6"/>
      <c r="P104" s="6"/>
    </row>
    <row r="105" spans="1:16">
      <c r="A105" s="6"/>
      <c r="B105" s="6"/>
      <c r="C105" s="9" t="str">
        <f>IF($B105="","",IFERROR(VLOOKUP($B105,'Типы элементов'!$A$2:$J$15,2,FALSE),""))</f>
        <v/>
      </c>
      <c r="D105" s="9" t="str">
        <f>IF($B105="","",IFERROR(VLOOKUP($B105,'Типы элементов'!$A$2:$J$15,3,FALSE),""))</f>
        <v/>
      </c>
      <c r="E105" s="9" t="str">
        <f>IF($B105="","",IFERROR(VLOOKUP($B105,'Типы элементов'!$A$2:$J$15,4,FALSE),""))</f>
        <v/>
      </c>
      <c r="F105" s="9" t="str">
        <f>IF($B105="","",IFERROR(VLOOKUP($B105,'Типы элементов'!$A$2:$J$15,5,FALSE),""))</f>
        <v/>
      </c>
      <c r="G105" s="9" t="str">
        <f>IF($B105="","",IFERROR(VLOOKUP($B105,'Типы элементов'!$A$2:$J$15,6,FALSE),""))</f>
        <v/>
      </c>
      <c r="H105" s="9" t="str">
        <f>IF($B105="","",IFERROR(VLOOKUP($B105,'Типы элементов'!$A$2:$J$15,7,FALSE),""))</f>
        <v/>
      </c>
      <c r="I105" s="9" t="str">
        <f>IF($B105="","",IFERROR(VLOOKUP($B105,'Типы элементов'!$A$2:$J$15,8,FALSE),""))</f>
        <v/>
      </c>
      <c r="J105" s="9" t="str">
        <f>IF($B105="","",IFERROR(VLOOKUP($B105,'Типы элементов'!$A$2:$J$15,9,FALSE),""))</f>
        <v/>
      </c>
      <c r="K105" s="10" t="str">
        <f>IF($B105="","",IFERROR(VLOOKUP($B105,'Типы элементов'!$A$2:$J$15,10,FALSE),""))</f>
        <v/>
      </c>
      <c r="L105" s="6"/>
      <c r="M105" s="6"/>
      <c r="N105" s="6"/>
      <c r="O105" s="6"/>
      <c r="P105" s="6"/>
    </row>
    <row r="106" spans="1:16">
      <c r="A106" s="6"/>
      <c r="B106" s="6"/>
      <c r="C106" s="9" t="str">
        <f>IF($B106="","",IFERROR(VLOOKUP($B106,'Типы элементов'!$A$2:$J$15,2,FALSE),""))</f>
        <v/>
      </c>
      <c r="D106" s="9" t="str">
        <f>IF($B106="","",IFERROR(VLOOKUP($B106,'Типы элементов'!$A$2:$J$15,3,FALSE),""))</f>
        <v/>
      </c>
      <c r="E106" s="9" t="str">
        <f>IF($B106="","",IFERROR(VLOOKUP($B106,'Типы элементов'!$A$2:$J$15,4,FALSE),""))</f>
        <v/>
      </c>
      <c r="F106" s="9" t="str">
        <f>IF($B106="","",IFERROR(VLOOKUP($B106,'Типы элементов'!$A$2:$J$15,5,FALSE),""))</f>
        <v/>
      </c>
      <c r="G106" s="9" t="str">
        <f>IF($B106="","",IFERROR(VLOOKUP($B106,'Типы элементов'!$A$2:$J$15,6,FALSE),""))</f>
        <v/>
      </c>
      <c r="H106" s="9" t="str">
        <f>IF($B106="","",IFERROR(VLOOKUP($B106,'Типы элементов'!$A$2:$J$15,7,FALSE),""))</f>
        <v/>
      </c>
      <c r="I106" s="9" t="str">
        <f>IF($B106="","",IFERROR(VLOOKUP($B106,'Типы элементов'!$A$2:$J$15,8,FALSE),""))</f>
        <v/>
      </c>
      <c r="J106" s="9" t="str">
        <f>IF($B106="","",IFERROR(VLOOKUP($B106,'Типы элементов'!$A$2:$J$15,9,FALSE),""))</f>
        <v/>
      </c>
      <c r="K106" s="10" t="str">
        <f>IF($B106="","",IFERROR(VLOOKUP($B106,'Типы элементов'!$A$2:$J$15,10,FALSE),""))</f>
        <v/>
      </c>
      <c r="L106" s="6"/>
      <c r="M106" s="6"/>
      <c r="N106" s="6"/>
      <c r="O106" s="6"/>
      <c r="P106" s="6"/>
    </row>
    <row r="107" spans="1:16">
      <c r="A107" s="6"/>
      <c r="B107" s="6"/>
      <c r="C107" s="9" t="str">
        <f>IF($B107="","",IFERROR(VLOOKUP($B107,'Типы элементов'!$A$2:$J$15,2,FALSE),""))</f>
        <v/>
      </c>
      <c r="D107" s="9" t="str">
        <f>IF($B107="","",IFERROR(VLOOKUP($B107,'Типы элементов'!$A$2:$J$15,3,FALSE),""))</f>
        <v/>
      </c>
      <c r="E107" s="9" t="str">
        <f>IF($B107="","",IFERROR(VLOOKUP($B107,'Типы элементов'!$A$2:$J$15,4,FALSE),""))</f>
        <v/>
      </c>
      <c r="F107" s="9" t="str">
        <f>IF($B107="","",IFERROR(VLOOKUP($B107,'Типы элементов'!$A$2:$J$15,5,FALSE),""))</f>
        <v/>
      </c>
      <c r="G107" s="9" t="str">
        <f>IF($B107="","",IFERROR(VLOOKUP($B107,'Типы элементов'!$A$2:$J$15,6,FALSE),""))</f>
        <v/>
      </c>
      <c r="H107" s="9" t="str">
        <f>IF($B107="","",IFERROR(VLOOKUP($B107,'Типы элементов'!$A$2:$J$15,7,FALSE),""))</f>
        <v/>
      </c>
      <c r="I107" s="9" t="str">
        <f>IF($B107="","",IFERROR(VLOOKUP($B107,'Типы элементов'!$A$2:$J$15,8,FALSE),""))</f>
        <v/>
      </c>
      <c r="J107" s="9" t="str">
        <f>IF($B107="","",IFERROR(VLOOKUP($B107,'Типы элементов'!$A$2:$J$15,9,FALSE),""))</f>
        <v/>
      </c>
      <c r="K107" s="10" t="str">
        <f>IF($B107="","",IFERROR(VLOOKUP($B107,'Типы элементов'!$A$2:$J$15,10,FALSE),""))</f>
        <v/>
      </c>
      <c r="L107" s="6"/>
      <c r="M107" s="6"/>
      <c r="N107" s="6"/>
      <c r="O107" s="6"/>
      <c r="P107" s="6"/>
    </row>
    <row r="108" spans="1:16">
      <c r="A108" s="6"/>
      <c r="B108" s="6"/>
      <c r="C108" s="9" t="str">
        <f>IF($B108="","",IFERROR(VLOOKUP($B108,'Типы элементов'!$A$2:$J$15,2,FALSE),""))</f>
        <v/>
      </c>
      <c r="D108" s="9" t="str">
        <f>IF($B108="","",IFERROR(VLOOKUP($B108,'Типы элементов'!$A$2:$J$15,3,FALSE),""))</f>
        <v/>
      </c>
      <c r="E108" s="9" t="str">
        <f>IF($B108="","",IFERROR(VLOOKUP($B108,'Типы элементов'!$A$2:$J$15,4,FALSE),""))</f>
        <v/>
      </c>
      <c r="F108" s="9" t="str">
        <f>IF($B108="","",IFERROR(VLOOKUP($B108,'Типы элементов'!$A$2:$J$15,5,FALSE),""))</f>
        <v/>
      </c>
      <c r="G108" s="9" t="str">
        <f>IF($B108="","",IFERROR(VLOOKUP($B108,'Типы элементов'!$A$2:$J$15,6,FALSE),""))</f>
        <v/>
      </c>
      <c r="H108" s="9" t="str">
        <f>IF($B108="","",IFERROR(VLOOKUP($B108,'Типы элементов'!$A$2:$J$15,7,FALSE),""))</f>
        <v/>
      </c>
      <c r="I108" s="9" t="str">
        <f>IF($B108="","",IFERROR(VLOOKUP($B108,'Типы элементов'!$A$2:$J$15,8,FALSE),""))</f>
        <v/>
      </c>
      <c r="J108" s="9" t="str">
        <f>IF($B108="","",IFERROR(VLOOKUP($B108,'Типы элементов'!$A$2:$J$15,9,FALSE),""))</f>
        <v/>
      </c>
      <c r="K108" s="10" t="str">
        <f>IF($B108="","",IFERROR(VLOOKUP($B108,'Типы элементов'!$A$2:$J$15,10,FALSE),""))</f>
        <v/>
      </c>
      <c r="L108" s="6"/>
      <c r="M108" s="6"/>
      <c r="N108" s="6"/>
      <c r="O108" s="6"/>
      <c r="P108" s="6"/>
    </row>
    <row r="109" spans="1:16">
      <c r="A109" s="6"/>
      <c r="B109" s="6"/>
      <c r="C109" s="9" t="str">
        <f>IF($B109="","",IFERROR(VLOOKUP($B109,'Типы элементов'!$A$2:$J$15,2,FALSE),""))</f>
        <v/>
      </c>
      <c r="D109" s="9" t="str">
        <f>IF($B109="","",IFERROR(VLOOKUP($B109,'Типы элементов'!$A$2:$J$15,3,FALSE),""))</f>
        <v/>
      </c>
      <c r="E109" s="9" t="str">
        <f>IF($B109="","",IFERROR(VLOOKUP($B109,'Типы элементов'!$A$2:$J$15,4,FALSE),""))</f>
        <v/>
      </c>
      <c r="F109" s="9" t="str">
        <f>IF($B109="","",IFERROR(VLOOKUP($B109,'Типы элементов'!$A$2:$J$15,5,FALSE),""))</f>
        <v/>
      </c>
      <c r="G109" s="9" t="str">
        <f>IF($B109="","",IFERROR(VLOOKUP($B109,'Типы элементов'!$A$2:$J$15,6,FALSE),""))</f>
        <v/>
      </c>
      <c r="H109" s="9" t="str">
        <f>IF($B109="","",IFERROR(VLOOKUP($B109,'Типы элементов'!$A$2:$J$15,7,FALSE),""))</f>
        <v/>
      </c>
      <c r="I109" s="9" t="str">
        <f>IF($B109="","",IFERROR(VLOOKUP($B109,'Типы элементов'!$A$2:$J$15,8,FALSE),""))</f>
        <v/>
      </c>
      <c r="J109" s="9" t="str">
        <f>IF($B109="","",IFERROR(VLOOKUP($B109,'Типы элементов'!$A$2:$J$15,9,FALSE),""))</f>
        <v/>
      </c>
      <c r="K109" s="10" t="str">
        <f>IF($B109="","",IFERROR(VLOOKUP($B109,'Типы элементов'!$A$2:$J$15,10,FALSE),""))</f>
        <v/>
      </c>
      <c r="L109" s="6"/>
      <c r="M109" s="6"/>
      <c r="N109" s="6"/>
      <c r="O109" s="6"/>
      <c r="P109" s="6"/>
    </row>
    <row r="110" spans="1:16">
      <c r="A110" s="6"/>
      <c r="B110" s="6"/>
      <c r="C110" s="9" t="str">
        <f>IF($B110="","",IFERROR(VLOOKUP($B110,'Типы элементов'!$A$2:$J$15,2,FALSE),""))</f>
        <v/>
      </c>
      <c r="D110" s="9" t="str">
        <f>IF($B110="","",IFERROR(VLOOKUP($B110,'Типы элементов'!$A$2:$J$15,3,FALSE),""))</f>
        <v/>
      </c>
      <c r="E110" s="9" t="str">
        <f>IF($B110="","",IFERROR(VLOOKUP($B110,'Типы элементов'!$A$2:$J$15,4,FALSE),""))</f>
        <v/>
      </c>
      <c r="F110" s="9" t="str">
        <f>IF($B110="","",IFERROR(VLOOKUP($B110,'Типы элементов'!$A$2:$J$15,5,FALSE),""))</f>
        <v/>
      </c>
      <c r="G110" s="9" t="str">
        <f>IF($B110="","",IFERROR(VLOOKUP($B110,'Типы элементов'!$A$2:$J$15,6,FALSE),""))</f>
        <v/>
      </c>
      <c r="H110" s="9" t="str">
        <f>IF($B110="","",IFERROR(VLOOKUP($B110,'Типы элементов'!$A$2:$J$15,7,FALSE),""))</f>
        <v/>
      </c>
      <c r="I110" s="9" t="str">
        <f>IF($B110="","",IFERROR(VLOOKUP($B110,'Типы элементов'!$A$2:$J$15,8,FALSE),""))</f>
        <v/>
      </c>
      <c r="J110" s="9" t="str">
        <f>IF($B110="","",IFERROR(VLOOKUP($B110,'Типы элементов'!$A$2:$J$15,9,FALSE),""))</f>
        <v/>
      </c>
      <c r="K110" s="10" t="str">
        <f>IF($B110="","",IFERROR(VLOOKUP($B110,'Типы элементов'!$A$2:$J$15,10,FALSE),""))</f>
        <v/>
      </c>
      <c r="L110" s="6"/>
      <c r="M110" s="6"/>
      <c r="N110" s="6"/>
      <c r="O110" s="6"/>
      <c r="P110" s="6"/>
    </row>
    <row r="111" spans="1:16">
      <c r="A111" s="6"/>
      <c r="B111" s="6"/>
      <c r="C111" s="9" t="str">
        <f>IF($B111="","",IFERROR(VLOOKUP($B111,'Типы элементов'!$A$2:$J$15,2,FALSE),""))</f>
        <v/>
      </c>
      <c r="D111" s="9" t="str">
        <f>IF($B111="","",IFERROR(VLOOKUP($B111,'Типы элементов'!$A$2:$J$15,3,FALSE),""))</f>
        <v/>
      </c>
      <c r="E111" s="9" t="str">
        <f>IF($B111="","",IFERROR(VLOOKUP($B111,'Типы элементов'!$A$2:$J$15,4,FALSE),""))</f>
        <v/>
      </c>
      <c r="F111" s="9" t="str">
        <f>IF($B111="","",IFERROR(VLOOKUP($B111,'Типы элементов'!$A$2:$J$15,5,FALSE),""))</f>
        <v/>
      </c>
      <c r="G111" s="9" t="str">
        <f>IF($B111="","",IFERROR(VLOOKUP($B111,'Типы элементов'!$A$2:$J$15,6,FALSE),""))</f>
        <v/>
      </c>
      <c r="H111" s="9" t="str">
        <f>IF($B111="","",IFERROR(VLOOKUP($B111,'Типы элементов'!$A$2:$J$15,7,FALSE),""))</f>
        <v/>
      </c>
      <c r="I111" s="9" t="str">
        <f>IF($B111="","",IFERROR(VLOOKUP($B111,'Типы элементов'!$A$2:$J$15,8,FALSE),""))</f>
        <v/>
      </c>
      <c r="J111" s="9" t="str">
        <f>IF($B111="","",IFERROR(VLOOKUP($B111,'Типы элементов'!$A$2:$J$15,9,FALSE),""))</f>
        <v/>
      </c>
      <c r="K111" s="10" t="str">
        <f>IF($B111="","",IFERROR(VLOOKUP($B111,'Типы элементов'!$A$2:$J$15,10,FALSE),""))</f>
        <v/>
      </c>
      <c r="L111" s="6"/>
      <c r="M111" s="6"/>
      <c r="N111" s="6"/>
      <c r="O111" s="6"/>
      <c r="P111" s="6"/>
    </row>
    <row r="112" spans="1:16">
      <c r="A112" s="6"/>
      <c r="B112" s="6"/>
      <c r="C112" s="9" t="str">
        <f>IF($B112="","",IFERROR(VLOOKUP($B112,'Типы элементов'!$A$2:$J$15,2,FALSE),""))</f>
        <v/>
      </c>
      <c r="D112" s="9" t="str">
        <f>IF($B112="","",IFERROR(VLOOKUP($B112,'Типы элементов'!$A$2:$J$15,3,FALSE),""))</f>
        <v/>
      </c>
      <c r="E112" s="9" t="str">
        <f>IF($B112="","",IFERROR(VLOOKUP($B112,'Типы элементов'!$A$2:$J$15,4,FALSE),""))</f>
        <v/>
      </c>
      <c r="F112" s="9" t="str">
        <f>IF($B112="","",IFERROR(VLOOKUP($B112,'Типы элементов'!$A$2:$J$15,5,FALSE),""))</f>
        <v/>
      </c>
      <c r="G112" s="9" t="str">
        <f>IF($B112="","",IFERROR(VLOOKUP($B112,'Типы элементов'!$A$2:$J$15,6,FALSE),""))</f>
        <v/>
      </c>
      <c r="H112" s="9" t="str">
        <f>IF($B112="","",IFERROR(VLOOKUP($B112,'Типы элементов'!$A$2:$J$15,7,FALSE),""))</f>
        <v/>
      </c>
      <c r="I112" s="9" t="str">
        <f>IF($B112="","",IFERROR(VLOOKUP($B112,'Типы элементов'!$A$2:$J$15,8,FALSE),""))</f>
        <v/>
      </c>
      <c r="J112" s="9" t="str">
        <f>IF($B112="","",IFERROR(VLOOKUP($B112,'Типы элементов'!$A$2:$J$15,9,FALSE),""))</f>
        <v/>
      </c>
      <c r="K112" s="10" t="str">
        <f>IF($B112="","",IFERROR(VLOOKUP($B112,'Типы элементов'!$A$2:$J$15,10,FALSE),""))</f>
        <v/>
      </c>
      <c r="L112" s="6"/>
      <c r="M112" s="6"/>
      <c r="N112" s="6"/>
      <c r="O112" s="6"/>
      <c r="P112" s="6"/>
    </row>
    <row r="113" spans="1:16">
      <c r="A113" s="6"/>
      <c r="B113" s="6"/>
      <c r="C113" s="9" t="str">
        <f>IF($B113="","",IFERROR(VLOOKUP($B113,'Типы элементов'!$A$2:$J$15,2,FALSE),""))</f>
        <v/>
      </c>
      <c r="D113" s="9" t="str">
        <f>IF($B113="","",IFERROR(VLOOKUP($B113,'Типы элементов'!$A$2:$J$15,3,FALSE),""))</f>
        <v/>
      </c>
      <c r="E113" s="9" t="str">
        <f>IF($B113="","",IFERROR(VLOOKUP($B113,'Типы элементов'!$A$2:$J$15,4,FALSE),""))</f>
        <v/>
      </c>
      <c r="F113" s="9" t="str">
        <f>IF($B113="","",IFERROR(VLOOKUP($B113,'Типы элементов'!$A$2:$J$15,5,FALSE),""))</f>
        <v/>
      </c>
      <c r="G113" s="9" t="str">
        <f>IF($B113="","",IFERROR(VLOOKUP($B113,'Типы элементов'!$A$2:$J$15,6,FALSE),""))</f>
        <v/>
      </c>
      <c r="H113" s="9" t="str">
        <f>IF($B113="","",IFERROR(VLOOKUP($B113,'Типы элементов'!$A$2:$J$15,7,FALSE),""))</f>
        <v/>
      </c>
      <c r="I113" s="9" t="str">
        <f>IF($B113="","",IFERROR(VLOOKUP($B113,'Типы элементов'!$A$2:$J$15,8,FALSE),""))</f>
        <v/>
      </c>
      <c r="J113" s="9" t="str">
        <f>IF($B113="","",IFERROR(VLOOKUP($B113,'Типы элементов'!$A$2:$J$15,9,FALSE),""))</f>
        <v/>
      </c>
      <c r="K113" s="10" t="str">
        <f>IF($B113="","",IFERROR(VLOOKUP($B113,'Типы элементов'!$A$2:$J$15,10,FALSE),""))</f>
        <v/>
      </c>
      <c r="L113" s="6"/>
      <c r="M113" s="6"/>
      <c r="N113" s="6"/>
      <c r="O113" s="6"/>
      <c r="P113" s="6"/>
    </row>
    <row r="114" spans="1:16">
      <c r="A114" s="6"/>
      <c r="B114" s="6"/>
      <c r="C114" s="9" t="str">
        <f>IF($B114="","",IFERROR(VLOOKUP($B114,'Типы элементов'!$A$2:$J$15,2,FALSE),""))</f>
        <v/>
      </c>
      <c r="D114" s="9" t="str">
        <f>IF($B114="","",IFERROR(VLOOKUP($B114,'Типы элементов'!$A$2:$J$15,3,FALSE),""))</f>
        <v/>
      </c>
      <c r="E114" s="9" t="str">
        <f>IF($B114="","",IFERROR(VLOOKUP($B114,'Типы элементов'!$A$2:$J$15,4,FALSE),""))</f>
        <v/>
      </c>
      <c r="F114" s="9" t="str">
        <f>IF($B114="","",IFERROR(VLOOKUP($B114,'Типы элементов'!$A$2:$J$15,5,FALSE),""))</f>
        <v/>
      </c>
      <c r="G114" s="9" t="str">
        <f>IF($B114="","",IFERROR(VLOOKUP($B114,'Типы элементов'!$A$2:$J$15,6,FALSE),""))</f>
        <v/>
      </c>
      <c r="H114" s="9" t="str">
        <f>IF($B114="","",IFERROR(VLOOKUP($B114,'Типы элементов'!$A$2:$J$15,7,FALSE),""))</f>
        <v/>
      </c>
      <c r="I114" s="9" t="str">
        <f>IF($B114="","",IFERROR(VLOOKUP($B114,'Типы элементов'!$A$2:$J$15,8,FALSE),""))</f>
        <v/>
      </c>
      <c r="J114" s="9" t="str">
        <f>IF($B114="","",IFERROR(VLOOKUP($B114,'Типы элементов'!$A$2:$J$15,9,FALSE),""))</f>
        <v/>
      </c>
      <c r="K114" s="10" t="str">
        <f>IF($B114="","",IFERROR(VLOOKUP($B114,'Типы элементов'!$A$2:$J$15,10,FALSE),""))</f>
        <v/>
      </c>
      <c r="L114" s="6"/>
      <c r="M114" s="6"/>
      <c r="N114" s="6"/>
      <c r="O114" s="6"/>
      <c r="P114" s="6"/>
    </row>
    <row r="115" spans="1:16">
      <c r="A115" s="6"/>
      <c r="B115" s="6"/>
      <c r="C115" s="9" t="str">
        <f>IF($B115="","",IFERROR(VLOOKUP($B115,'Типы элементов'!$A$2:$J$15,2,FALSE),""))</f>
        <v/>
      </c>
      <c r="D115" s="9" t="str">
        <f>IF($B115="","",IFERROR(VLOOKUP($B115,'Типы элементов'!$A$2:$J$15,3,FALSE),""))</f>
        <v/>
      </c>
      <c r="E115" s="9" t="str">
        <f>IF($B115="","",IFERROR(VLOOKUP($B115,'Типы элементов'!$A$2:$J$15,4,FALSE),""))</f>
        <v/>
      </c>
      <c r="F115" s="9" t="str">
        <f>IF($B115="","",IFERROR(VLOOKUP($B115,'Типы элементов'!$A$2:$J$15,5,FALSE),""))</f>
        <v/>
      </c>
      <c r="G115" s="9" t="str">
        <f>IF($B115="","",IFERROR(VLOOKUP($B115,'Типы элементов'!$A$2:$J$15,6,FALSE),""))</f>
        <v/>
      </c>
      <c r="H115" s="9" t="str">
        <f>IF($B115="","",IFERROR(VLOOKUP($B115,'Типы элементов'!$A$2:$J$15,7,FALSE),""))</f>
        <v/>
      </c>
      <c r="I115" s="9" t="str">
        <f>IF($B115="","",IFERROR(VLOOKUP($B115,'Типы элементов'!$A$2:$J$15,8,FALSE),""))</f>
        <v/>
      </c>
      <c r="J115" s="9" t="str">
        <f>IF($B115="","",IFERROR(VLOOKUP($B115,'Типы элементов'!$A$2:$J$15,9,FALSE),""))</f>
        <v/>
      </c>
      <c r="K115" s="10" t="str">
        <f>IF($B115="","",IFERROR(VLOOKUP($B115,'Типы элементов'!$A$2:$J$15,10,FALSE),""))</f>
        <v/>
      </c>
      <c r="L115" s="6"/>
      <c r="M115" s="6"/>
      <c r="N115" s="6"/>
      <c r="O115" s="6"/>
      <c r="P115" s="6"/>
    </row>
    <row r="116" spans="1:16">
      <c r="A116" s="6"/>
      <c r="B116" s="6"/>
      <c r="C116" s="9" t="str">
        <f>IF($B116="","",IFERROR(VLOOKUP($B116,'Типы элементов'!$A$2:$J$15,2,FALSE),""))</f>
        <v/>
      </c>
      <c r="D116" s="9" t="str">
        <f>IF($B116="","",IFERROR(VLOOKUP($B116,'Типы элементов'!$A$2:$J$15,3,FALSE),""))</f>
        <v/>
      </c>
      <c r="E116" s="9" t="str">
        <f>IF($B116="","",IFERROR(VLOOKUP($B116,'Типы элементов'!$A$2:$J$15,4,FALSE),""))</f>
        <v/>
      </c>
      <c r="F116" s="9" t="str">
        <f>IF($B116="","",IFERROR(VLOOKUP($B116,'Типы элементов'!$A$2:$J$15,5,FALSE),""))</f>
        <v/>
      </c>
      <c r="G116" s="9" t="str">
        <f>IF($B116="","",IFERROR(VLOOKUP($B116,'Типы элементов'!$A$2:$J$15,6,FALSE),""))</f>
        <v/>
      </c>
      <c r="H116" s="9" t="str">
        <f>IF($B116="","",IFERROR(VLOOKUP($B116,'Типы элементов'!$A$2:$J$15,7,FALSE),""))</f>
        <v/>
      </c>
      <c r="I116" s="9" t="str">
        <f>IF($B116="","",IFERROR(VLOOKUP($B116,'Типы элементов'!$A$2:$J$15,8,FALSE),""))</f>
        <v/>
      </c>
      <c r="J116" s="9" t="str">
        <f>IF($B116="","",IFERROR(VLOOKUP($B116,'Типы элементов'!$A$2:$J$15,9,FALSE),""))</f>
        <v/>
      </c>
      <c r="K116" s="10" t="str">
        <f>IF($B116="","",IFERROR(VLOOKUP($B116,'Типы элементов'!$A$2:$J$15,10,FALSE),""))</f>
        <v/>
      </c>
      <c r="L116" s="6"/>
      <c r="M116" s="6"/>
      <c r="N116" s="6"/>
      <c r="O116" s="6"/>
      <c r="P116" s="6"/>
    </row>
    <row r="117" spans="1:16">
      <c r="A117" s="6"/>
      <c r="B117" s="6"/>
      <c r="C117" s="9" t="str">
        <f>IF($B117="","",IFERROR(VLOOKUP($B117,'Типы элементов'!$A$2:$J$15,2,FALSE),""))</f>
        <v/>
      </c>
      <c r="D117" s="9" t="str">
        <f>IF($B117="","",IFERROR(VLOOKUP($B117,'Типы элементов'!$A$2:$J$15,3,FALSE),""))</f>
        <v/>
      </c>
      <c r="E117" s="9" t="str">
        <f>IF($B117="","",IFERROR(VLOOKUP($B117,'Типы элементов'!$A$2:$J$15,4,FALSE),""))</f>
        <v/>
      </c>
      <c r="F117" s="9" t="str">
        <f>IF($B117="","",IFERROR(VLOOKUP($B117,'Типы элементов'!$A$2:$J$15,5,FALSE),""))</f>
        <v/>
      </c>
      <c r="G117" s="9" t="str">
        <f>IF($B117="","",IFERROR(VLOOKUP($B117,'Типы элементов'!$A$2:$J$15,6,FALSE),""))</f>
        <v/>
      </c>
      <c r="H117" s="9" t="str">
        <f>IF($B117="","",IFERROR(VLOOKUP($B117,'Типы элементов'!$A$2:$J$15,7,FALSE),""))</f>
        <v/>
      </c>
      <c r="I117" s="9" t="str">
        <f>IF($B117="","",IFERROR(VLOOKUP($B117,'Типы элементов'!$A$2:$J$15,8,FALSE),""))</f>
        <v/>
      </c>
      <c r="J117" s="9" t="str">
        <f>IF($B117="","",IFERROR(VLOOKUP($B117,'Типы элементов'!$A$2:$J$15,9,FALSE),""))</f>
        <v/>
      </c>
      <c r="K117" s="10" t="str">
        <f>IF($B117="","",IFERROR(VLOOKUP($B117,'Типы элементов'!$A$2:$J$15,10,FALSE),""))</f>
        <v/>
      </c>
      <c r="L117" s="6"/>
      <c r="M117" s="6"/>
      <c r="N117" s="6"/>
      <c r="O117" s="6"/>
      <c r="P117" s="6"/>
    </row>
    <row r="118" spans="1:16">
      <c r="A118" s="6"/>
      <c r="B118" s="6"/>
      <c r="C118" s="9" t="str">
        <f>IF($B118="","",IFERROR(VLOOKUP($B118,'Типы элементов'!$A$2:$J$15,2,FALSE),""))</f>
        <v/>
      </c>
      <c r="D118" s="9" t="str">
        <f>IF($B118="","",IFERROR(VLOOKUP($B118,'Типы элементов'!$A$2:$J$15,3,FALSE),""))</f>
        <v/>
      </c>
      <c r="E118" s="9" t="str">
        <f>IF($B118="","",IFERROR(VLOOKUP($B118,'Типы элементов'!$A$2:$J$15,4,FALSE),""))</f>
        <v/>
      </c>
      <c r="F118" s="9" t="str">
        <f>IF($B118="","",IFERROR(VLOOKUP($B118,'Типы элементов'!$A$2:$J$15,5,FALSE),""))</f>
        <v/>
      </c>
      <c r="G118" s="9" t="str">
        <f>IF($B118="","",IFERROR(VLOOKUP($B118,'Типы элементов'!$A$2:$J$15,6,FALSE),""))</f>
        <v/>
      </c>
      <c r="H118" s="9" t="str">
        <f>IF($B118="","",IFERROR(VLOOKUP($B118,'Типы элементов'!$A$2:$J$15,7,FALSE),""))</f>
        <v/>
      </c>
      <c r="I118" s="9" t="str">
        <f>IF($B118="","",IFERROR(VLOOKUP($B118,'Типы элементов'!$A$2:$J$15,8,FALSE),""))</f>
        <v/>
      </c>
      <c r="J118" s="9" t="str">
        <f>IF($B118="","",IFERROR(VLOOKUP($B118,'Типы элементов'!$A$2:$J$15,9,FALSE),""))</f>
        <v/>
      </c>
      <c r="K118" s="10" t="str">
        <f>IF($B118="","",IFERROR(VLOOKUP($B118,'Типы элементов'!$A$2:$J$15,10,FALSE),""))</f>
        <v/>
      </c>
      <c r="L118" s="6"/>
      <c r="M118" s="6"/>
      <c r="N118" s="6"/>
      <c r="O118" s="6"/>
      <c r="P118" s="6"/>
    </row>
    <row r="119" spans="1:16">
      <c r="A119" s="6"/>
      <c r="B119" s="6"/>
      <c r="C119" s="9" t="str">
        <f>IF($B119="","",IFERROR(VLOOKUP($B119,'Типы элементов'!$A$2:$J$15,2,FALSE),""))</f>
        <v/>
      </c>
      <c r="D119" s="9" t="str">
        <f>IF($B119="","",IFERROR(VLOOKUP($B119,'Типы элементов'!$A$2:$J$15,3,FALSE),""))</f>
        <v/>
      </c>
      <c r="E119" s="9" t="str">
        <f>IF($B119="","",IFERROR(VLOOKUP($B119,'Типы элементов'!$A$2:$J$15,4,FALSE),""))</f>
        <v/>
      </c>
      <c r="F119" s="9" t="str">
        <f>IF($B119="","",IFERROR(VLOOKUP($B119,'Типы элементов'!$A$2:$J$15,5,FALSE),""))</f>
        <v/>
      </c>
      <c r="G119" s="9" t="str">
        <f>IF($B119="","",IFERROR(VLOOKUP($B119,'Типы элементов'!$A$2:$J$15,6,FALSE),""))</f>
        <v/>
      </c>
      <c r="H119" s="9" t="str">
        <f>IF($B119="","",IFERROR(VLOOKUP($B119,'Типы элементов'!$A$2:$J$15,7,FALSE),""))</f>
        <v/>
      </c>
      <c r="I119" s="9" t="str">
        <f>IF($B119="","",IFERROR(VLOOKUP($B119,'Типы элементов'!$A$2:$J$15,8,FALSE),""))</f>
        <v/>
      </c>
      <c r="J119" s="9" t="str">
        <f>IF($B119="","",IFERROR(VLOOKUP($B119,'Типы элементов'!$A$2:$J$15,9,FALSE),""))</f>
        <v/>
      </c>
      <c r="K119" s="10" t="str">
        <f>IF($B119="","",IFERROR(VLOOKUP($B119,'Типы элементов'!$A$2:$J$15,10,FALSE),""))</f>
        <v/>
      </c>
      <c r="L119" s="6"/>
      <c r="M119" s="6"/>
      <c r="N119" s="6"/>
      <c r="O119" s="6"/>
      <c r="P119" s="6"/>
    </row>
    <row r="120" spans="1:16">
      <c r="A120" s="6"/>
      <c r="B120" s="6"/>
      <c r="C120" s="9" t="str">
        <f>IF($B120="","",IFERROR(VLOOKUP($B120,'Типы элементов'!$A$2:$J$15,2,FALSE),""))</f>
        <v/>
      </c>
      <c r="D120" s="9" t="str">
        <f>IF($B120="","",IFERROR(VLOOKUP($B120,'Типы элементов'!$A$2:$J$15,3,FALSE),""))</f>
        <v/>
      </c>
      <c r="E120" s="9" t="str">
        <f>IF($B120="","",IFERROR(VLOOKUP($B120,'Типы элементов'!$A$2:$J$15,4,FALSE),""))</f>
        <v/>
      </c>
      <c r="F120" s="9" t="str">
        <f>IF($B120="","",IFERROR(VLOOKUP($B120,'Типы элементов'!$A$2:$J$15,5,FALSE),""))</f>
        <v/>
      </c>
      <c r="G120" s="9" t="str">
        <f>IF($B120="","",IFERROR(VLOOKUP($B120,'Типы элементов'!$A$2:$J$15,6,FALSE),""))</f>
        <v/>
      </c>
      <c r="H120" s="9" t="str">
        <f>IF($B120="","",IFERROR(VLOOKUP($B120,'Типы элементов'!$A$2:$J$15,7,FALSE),""))</f>
        <v/>
      </c>
      <c r="I120" s="9" t="str">
        <f>IF($B120="","",IFERROR(VLOOKUP($B120,'Типы элементов'!$A$2:$J$15,8,FALSE),""))</f>
        <v/>
      </c>
      <c r="J120" s="9" t="str">
        <f>IF($B120="","",IFERROR(VLOOKUP($B120,'Типы элементов'!$A$2:$J$15,9,FALSE),""))</f>
        <v/>
      </c>
      <c r="K120" s="10" t="str">
        <f>IF($B120="","",IFERROR(VLOOKUP($B120,'Типы элементов'!$A$2:$J$15,10,FALSE),""))</f>
        <v/>
      </c>
      <c r="L120" s="6"/>
      <c r="M120" s="6"/>
      <c r="N120" s="6"/>
      <c r="O120" s="6"/>
      <c r="P120" s="6"/>
    </row>
    <row r="121" spans="1:16">
      <c r="A121" s="6"/>
      <c r="B121" s="6"/>
      <c r="C121" s="9" t="str">
        <f>IF($B121="","",IFERROR(VLOOKUP($B121,'Типы элементов'!$A$2:$J$15,2,FALSE),""))</f>
        <v/>
      </c>
      <c r="D121" s="9" t="str">
        <f>IF($B121="","",IFERROR(VLOOKUP($B121,'Типы элементов'!$A$2:$J$15,3,FALSE),""))</f>
        <v/>
      </c>
      <c r="E121" s="9" t="str">
        <f>IF($B121="","",IFERROR(VLOOKUP($B121,'Типы элементов'!$A$2:$J$15,4,FALSE),""))</f>
        <v/>
      </c>
      <c r="F121" s="9" t="str">
        <f>IF($B121="","",IFERROR(VLOOKUP($B121,'Типы элементов'!$A$2:$J$15,5,FALSE),""))</f>
        <v/>
      </c>
      <c r="G121" s="9" t="str">
        <f>IF($B121="","",IFERROR(VLOOKUP($B121,'Типы элементов'!$A$2:$J$15,6,FALSE),""))</f>
        <v/>
      </c>
      <c r="H121" s="9" t="str">
        <f>IF($B121="","",IFERROR(VLOOKUP($B121,'Типы элементов'!$A$2:$J$15,7,FALSE),""))</f>
        <v/>
      </c>
      <c r="I121" s="9" t="str">
        <f>IF($B121="","",IFERROR(VLOOKUP($B121,'Типы элементов'!$A$2:$J$15,8,FALSE),""))</f>
        <v/>
      </c>
      <c r="J121" s="9" t="str">
        <f>IF($B121="","",IFERROR(VLOOKUP($B121,'Типы элементов'!$A$2:$J$15,9,FALSE),""))</f>
        <v/>
      </c>
      <c r="K121" s="10" t="str">
        <f>IF($B121="","",IFERROR(VLOOKUP($B121,'Типы элементов'!$A$2:$J$15,10,FALSE),""))</f>
        <v/>
      </c>
      <c r="L121" s="6"/>
      <c r="M121" s="6"/>
      <c r="N121" s="6"/>
      <c r="O121" s="6"/>
      <c r="P121" s="6"/>
    </row>
    <row r="122" spans="1:16">
      <c r="A122" s="6"/>
      <c r="B122" s="6"/>
      <c r="C122" s="9" t="str">
        <f>IF($B122="","",IFERROR(VLOOKUP($B122,'Типы элементов'!$A$2:$J$15,2,FALSE),""))</f>
        <v/>
      </c>
      <c r="D122" s="9" t="str">
        <f>IF($B122="","",IFERROR(VLOOKUP($B122,'Типы элементов'!$A$2:$J$15,3,FALSE),""))</f>
        <v/>
      </c>
      <c r="E122" s="9" t="str">
        <f>IF($B122="","",IFERROR(VLOOKUP($B122,'Типы элементов'!$A$2:$J$15,4,FALSE),""))</f>
        <v/>
      </c>
      <c r="F122" s="9" t="str">
        <f>IF($B122="","",IFERROR(VLOOKUP($B122,'Типы элементов'!$A$2:$J$15,5,FALSE),""))</f>
        <v/>
      </c>
      <c r="G122" s="9" t="str">
        <f>IF($B122="","",IFERROR(VLOOKUP($B122,'Типы элементов'!$A$2:$J$15,6,FALSE),""))</f>
        <v/>
      </c>
      <c r="H122" s="9" t="str">
        <f>IF($B122="","",IFERROR(VLOOKUP($B122,'Типы элементов'!$A$2:$J$15,7,FALSE),""))</f>
        <v/>
      </c>
      <c r="I122" s="9" t="str">
        <f>IF($B122="","",IFERROR(VLOOKUP($B122,'Типы элементов'!$A$2:$J$15,8,FALSE),""))</f>
        <v/>
      </c>
      <c r="J122" s="9" t="str">
        <f>IF($B122="","",IFERROR(VLOOKUP($B122,'Типы элементов'!$A$2:$J$15,9,FALSE),""))</f>
        <v/>
      </c>
      <c r="K122" s="10" t="str">
        <f>IF($B122="","",IFERROR(VLOOKUP($B122,'Типы элементов'!$A$2:$J$15,10,FALSE),""))</f>
        <v/>
      </c>
      <c r="L122" s="6"/>
      <c r="M122" s="6"/>
      <c r="N122" s="6"/>
      <c r="O122" s="6"/>
      <c r="P122" s="6"/>
    </row>
    <row r="123" spans="1:16">
      <c r="A123" s="6"/>
      <c r="B123" s="6"/>
      <c r="C123" s="9" t="str">
        <f>IF($B123="","",IFERROR(VLOOKUP($B123,'Типы элементов'!$A$2:$J$15,2,FALSE),""))</f>
        <v/>
      </c>
      <c r="D123" s="9" t="str">
        <f>IF($B123="","",IFERROR(VLOOKUP($B123,'Типы элементов'!$A$2:$J$15,3,FALSE),""))</f>
        <v/>
      </c>
      <c r="E123" s="9" t="str">
        <f>IF($B123="","",IFERROR(VLOOKUP($B123,'Типы элементов'!$A$2:$J$15,4,FALSE),""))</f>
        <v/>
      </c>
      <c r="F123" s="9" t="str">
        <f>IF($B123="","",IFERROR(VLOOKUP($B123,'Типы элементов'!$A$2:$J$15,5,FALSE),""))</f>
        <v/>
      </c>
      <c r="G123" s="9" t="str">
        <f>IF($B123="","",IFERROR(VLOOKUP($B123,'Типы элементов'!$A$2:$J$15,6,FALSE),""))</f>
        <v/>
      </c>
      <c r="H123" s="9" t="str">
        <f>IF($B123="","",IFERROR(VLOOKUP($B123,'Типы элементов'!$A$2:$J$15,7,FALSE),""))</f>
        <v/>
      </c>
      <c r="I123" s="9" t="str">
        <f>IF($B123="","",IFERROR(VLOOKUP($B123,'Типы элементов'!$A$2:$J$15,8,FALSE),""))</f>
        <v/>
      </c>
      <c r="J123" s="9" t="str">
        <f>IF($B123="","",IFERROR(VLOOKUP($B123,'Типы элементов'!$A$2:$J$15,9,FALSE),""))</f>
        <v/>
      </c>
      <c r="K123" s="10" t="str">
        <f>IF($B123="","",IFERROR(VLOOKUP($B123,'Типы элементов'!$A$2:$J$15,10,FALSE),""))</f>
        <v/>
      </c>
      <c r="L123" s="6"/>
      <c r="M123" s="6"/>
      <c r="N123" s="6"/>
      <c r="O123" s="6"/>
      <c r="P123" s="6"/>
    </row>
    <row r="124" spans="1:16">
      <c r="A124" s="6"/>
      <c r="B124" s="6"/>
      <c r="C124" s="9" t="str">
        <f>IF($B124="","",IFERROR(VLOOKUP($B124,'Типы элементов'!$A$2:$J$15,2,FALSE),""))</f>
        <v/>
      </c>
      <c r="D124" s="9" t="str">
        <f>IF($B124="","",IFERROR(VLOOKUP($B124,'Типы элементов'!$A$2:$J$15,3,FALSE),""))</f>
        <v/>
      </c>
      <c r="E124" s="9" t="str">
        <f>IF($B124="","",IFERROR(VLOOKUP($B124,'Типы элементов'!$A$2:$J$15,4,FALSE),""))</f>
        <v/>
      </c>
      <c r="F124" s="9" t="str">
        <f>IF($B124="","",IFERROR(VLOOKUP($B124,'Типы элементов'!$A$2:$J$15,5,FALSE),""))</f>
        <v/>
      </c>
      <c r="G124" s="9" t="str">
        <f>IF($B124="","",IFERROR(VLOOKUP($B124,'Типы элементов'!$A$2:$J$15,6,FALSE),""))</f>
        <v/>
      </c>
      <c r="H124" s="9" t="str">
        <f>IF($B124="","",IFERROR(VLOOKUP($B124,'Типы элементов'!$A$2:$J$15,7,FALSE),""))</f>
        <v/>
      </c>
      <c r="I124" s="9" t="str">
        <f>IF($B124="","",IFERROR(VLOOKUP($B124,'Типы элементов'!$A$2:$J$15,8,FALSE),""))</f>
        <v/>
      </c>
      <c r="J124" s="9" t="str">
        <f>IF($B124="","",IFERROR(VLOOKUP($B124,'Типы элементов'!$A$2:$J$15,9,FALSE),""))</f>
        <v/>
      </c>
      <c r="K124" s="10" t="str">
        <f>IF($B124="","",IFERROR(VLOOKUP($B124,'Типы элементов'!$A$2:$J$15,10,FALSE),""))</f>
        <v/>
      </c>
      <c r="L124" s="6"/>
      <c r="M124" s="6"/>
      <c r="N124" s="6"/>
      <c r="O124" s="6"/>
      <c r="P124" s="6"/>
    </row>
    <row r="125" spans="1:16">
      <c r="A125" s="6"/>
      <c r="B125" s="6"/>
      <c r="C125" s="9" t="str">
        <f>IF($B125="","",IFERROR(VLOOKUP($B125,'Типы элементов'!$A$2:$J$15,2,FALSE),""))</f>
        <v/>
      </c>
      <c r="D125" s="9" t="str">
        <f>IF($B125="","",IFERROR(VLOOKUP($B125,'Типы элементов'!$A$2:$J$15,3,FALSE),""))</f>
        <v/>
      </c>
      <c r="E125" s="9" t="str">
        <f>IF($B125="","",IFERROR(VLOOKUP($B125,'Типы элементов'!$A$2:$J$15,4,FALSE),""))</f>
        <v/>
      </c>
      <c r="F125" s="9" t="str">
        <f>IF($B125="","",IFERROR(VLOOKUP($B125,'Типы элементов'!$A$2:$J$15,5,FALSE),""))</f>
        <v/>
      </c>
      <c r="G125" s="9" t="str">
        <f>IF($B125="","",IFERROR(VLOOKUP($B125,'Типы элементов'!$A$2:$J$15,6,FALSE),""))</f>
        <v/>
      </c>
      <c r="H125" s="9" t="str">
        <f>IF($B125="","",IFERROR(VLOOKUP($B125,'Типы элементов'!$A$2:$J$15,7,FALSE),""))</f>
        <v/>
      </c>
      <c r="I125" s="9" t="str">
        <f>IF($B125="","",IFERROR(VLOOKUP($B125,'Типы элементов'!$A$2:$J$15,8,FALSE),""))</f>
        <v/>
      </c>
      <c r="J125" s="9" t="str">
        <f>IF($B125="","",IFERROR(VLOOKUP($B125,'Типы элементов'!$A$2:$J$15,9,FALSE),""))</f>
        <v/>
      </c>
      <c r="K125" s="10" t="str">
        <f>IF($B125="","",IFERROR(VLOOKUP($B125,'Типы элементов'!$A$2:$J$15,10,FALSE),""))</f>
        <v/>
      </c>
      <c r="L125" s="6"/>
      <c r="M125" s="6"/>
      <c r="N125" s="6"/>
      <c r="O125" s="6"/>
      <c r="P125" s="6"/>
    </row>
    <row r="126" spans="1:16">
      <c r="A126" s="6"/>
      <c r="B126" s="6"/>
      <c r="C126" s="9" t="str">
        <f>IF($B126="","",IFERROR(VLOOKUP($B126,'Типы элементов'!$A$2:$J$15,2,FALSE),""))</f>
        <v/>
      </c>
      <c r="D126" s="9" t="str">
        <f>IF($B126="","",IFERROR(VLOOKUP($B126,'Типы элементов'!$A$2:$J$15,3,FALSE),""))</f>
        <v/>
      </c>
      <c r="E126" s="9" t="str">
        <f>IF($B126="","",IFERROR(VLOOKUP($B126,'Типы элементов'!$A$2:$J$15,4,FALSE),""))</f>
        <v/>
      </c>
      <c r="F126" s="9" t="str">
        <f>IF($B126="","",IFERROR(VLOOKUP($B126,'Типы элементов'!$A$2:$J$15,5,FALSE),""))</f>
        <v/>
      </c>
      <c r="G126" s="9" t="str">
        <f>IF($B126="","",IFERROR(VLOOKUP($B126,'Типы элементов'!$A$2:$J$15,6,FALSE),""))</f>
        <v/>
      </c>
      <c r="H126" s="9" t="str">
        <f>IF($B126="","",IFERROR(VLOOKUP($B126,'Типы элементов'!$A$2:$J$15,7,FALSE),""))</f>
        <v/>
      </c>
      <c r="I126" s="9" t="str">
        <f>IF($B126="","",IFERROR(VLOOKUP($B126,'Типы элементов'!$A$2:$J$15,8,FALSE),""))</f>
        <v/>
      </c>
      <c r="J126" s="9" t="str">
        <f>IF($B126="","",IFERROR(VLOOKUP($B126,'Типы элементов'!$A$2:$J$15,9,FALSE),""))</f>
        <v/>
      </c>
      <c r="K126" s="10" t="str">
        <f>IF($B126="","",IFERROR(VLOOKUP($B126,'Типы элементов'!$A$2:$J$15,10,FALSE),""))</f>
        <v/>
      </c>
      <c r="L126" s="6"/>
      <c r="M126" s="6"/>
      <c r="N126" s="6"/>
      <c r="O126" s="6"/>
      <c r="P126" s="6"/>
    </row>
    <row r="127" spans="1:16">
      <c r="A127" s="6"/>
      <c r="B127" s="6"/>
      <c r="C127" s="9" t="str">
        <f>IF($B127="","",IFERROR(VLOOKUP($B127,'Типы элементов'!$A$2:$J$15,2,FALSE),""))</f>
        <v/>
      </c>
      <c r="D127" s="9" t="str">
        <f>IF($B127="","",IFERROR(VLOOKUP($B127,'Типы элементов'!$A$2:$J$15,3,FALSE),""))</f>
        <v/>
      </c>
      <c r="E127" s="9" t="str">
        <f>IF($B127="","",IFERROR(VLOOKUP($B127,'Типы элементов'!$A$2:$J$15,4,FALSE),""))</f>
        <v/>
      </c>
      <c r="F127" s="9" t="str">
        <f>IF($B127="","",IFERROR(VLOOKUP($B127,'Типы элементов'!$A$2:$J$15,5,FALSE),""))</f>
        <v/>
      </c>
      <c r="G127" s="9" t="str">
        <f>IF($B127="","",IFERROR(VLOOKUP($B127,'Типы элементов'!$A$2:$J$15,6,FALSE),""))</f>
        <v/>
      </c>
      <c r="H127" s="9" t="str">
        <f>IF($B127="","",IFERROR(VLOOKUP($B127,'Типы элементов'!$A$2:$J$15,7,FALSE),""))</f>
        <v/>
      </c>
      <c r="I127" s="9" t="str">
        <f>IF($B127="","",IFERROR(VLOOKUP($B127,'Типы элементов'!$A$2:$J$15,8,FALSE),""))</f>
        <v/>
      </c>
      <c r="J127" s="9" t="str">
        <f>IF($B127="","",IFERROR(VLOOKUP($B127,'Типы элементов'!$A$2:$J$15,9,FALSE),""))</f>
        <v/>
      </c>
      <c r="K127" s="10" t="str">
        <f>IF($B127="","",IFERROR(VLOOKUP($B127,'Типы элементов'!$A$2:$J$15,10,FALSE),""))</f>
        <v/>
      </c>
      <c r="L127" s="6"/>
      <c r="M127" s="6"/>
      <c r="N127" s="6"/>
      <c r="O127" s="6"/>
      <c r="P127" s="6"/>
    </row>
    <row r="128" spans="1:16">
      <c r="A128" s="6"/>
      <c r="B128" s="6"/>
      <c r="C128" s="9" t="str">
        <f>IF($B128="","",IFERROR(VLOOKUP($B128,'Типы элементов'!$A$2:$J$15,2,FALSE),""))</f>
        <v/>
      </c>
      <c r="D128" s="9" t="str">
        <f>IF($B128="","",IFERROR(VLOOKUP($B128,'Типы элементов'!$A$2:$J$15,3,FALSE),""))</f>
        <v/>
      </c>
      <c r="E128" s="9" t="str">
        <f>IF($B128="","",IFERROR(VLOOKUP($B128,'Типы элементов'!$A$2:$J$15,4,FALSE),""))</f>
        <v/>
      </c>
      <c r="F128" s="9" t="str">
        <f>IF($B128="","",IFERROR(VLOOKUP($B128,'Типы элементов'!$A$2:$J$15,5,FALSE),""))</f>
        <v/>
      </c>
      <c r="G128" s="9" t="str">
        <f>IF($B128="","",IFERROR(VLOOKUP($B128,'Типы элементов'!$A$2:$J$15,6,FALSE),""))</f>
        <v/>
      </c>
      <c r="H128" s="9" t="str">
        <f>IF($B128="","",IFERROR(VLOOKUP($B128,'Типы элементов'!$A$2:$J$15,7,FALSE),""))</f>
        <v/>
      </c>
      <c r="I128" s="9" t="str">
        <f>IF($B128="","",IFERROR(VLOOKUP($B128,'Типы элементов'!$A$2:$J$15,8,FALSE),""))</f>
        <v/>
      </c>
      <c r="J128" s="9" t="str">
        <f>IF($B128="","",IFERROR(VLOOKUP($B128,'Типы элементов'!$A$2:$J$15,9,FALSE),""))</f>
        <v/>
      </c>
      <c r="K128" s="10" t="str">
        <f>IF($B128="","",IFERROR(VLOOKUP($B128,'Типы элементов'!$A$2:$J$15,10,FALSE),""))</f>
        <v/>
      </c>
      <c r="L128" s="6"/>
      <c r="M128" s="6"/>
      <c r="N128" s="6"/>
      <c r="O128" s="6"/>
      <c r="P128" s="6"/>
    </row>
    <row r="129" spans="1:16">
      <c r="A129" s="6"/>
      <c r="B129" s="6"/>
      <c r="C129" s="9" t="str">
        <f>IF($B129="","",IFERROR(VLOOKUP($B129,'Типы элементов'!$A$2:$J$15,2,FALSE),""))</f>
        <v/>
      </c>
      <c r="D129" s="9" t="str">
        <f>IF($B129="","",IFERROR(VLOOKUP($B129,'Типы элементов'!$A$2:$J$15,3,FALSE),""))</f>
        <v/>
      </c>
      <c r="E129" s="9" t="str">
        <f>IF($B129="","",IFERROR(VLOOKUP($B129,'Типы элементов'!$A$2:$J$15,4,FALSE),""))</f>
        <v/>
      </c>
      <c r="F129" s="9" t="str">
        <f>IF($B129="","",IFERROR(VLOOKUP($B129,'Типы элементов'!$A$2:$J$15,5,FALSE),""))</f>
        <v/>
      </c>
      <c r="G129" s="9" t="str">
        <f>IF($B129="","",IFERROR(VLOOKUP($B129,'Типы элементов'!$A$2:$J$15,6,FALSE),""))</f>
        <v/>
      </c>
      <c r="H129" s="9" t="str">
        <f>IF($B129="","",IFERROR(VLOOKUP($B129,'Типы элементов'!$A$2:$J$15,7,FALSE),""))</f>
        <v/>
      </c>
      <c r="I129" s="9" t="str">
        <f>IF($B129="","",IFERROR(VLOOKUP($B129,'Типы элементов'!$A$2:$J$15,8,FALSE),""))</f>
        <v/>
      </c>
      <c r="J129" s="9" t="str">
        <f>IF($B129="","",IFERROR(VLOOKUP($B129,'Типы элементов'!$A$2:$J$15,9,FALSE),""))</f>
        <v/>
      </c>
      <c r="K129" s="10" t="str">
        <f>IF($B129="","",IFERROR(VLOOKUP($B129,'Типы элементов'!$A$2:$J$15,10,FALSE),""))</f>
        <v/>
      </c>
      <c r="L129" s="6"/>
      <c r="M129" s="6"/>
      <c r="N129" s="6"/>
      <c r="O129" s="6"/>
      <c r="P129" s="6"/>
    </row>
    <row r="130" spans="1:16">
      <c r="A130" s="6"/>
      <c r="B130" s="6"/>
      <c r="C130" s="9" t="str">
        <f>IF($B130="","",IFERROR(VLOOKUP($B130,'Типы элементов'!$A$2:$J$15,2,FALSE),""))</f>
        <v/>
      </c>
      <c r="D130" s="9" t="str">
        <f>IF($B130="","",IFERROR(VLOOKUP($B130,'Типы элементов'!$A$2:$J$15,3,FALSE),""))</f>
        <v/>
      </c>
      <c r="E130" s="9" t="str">
        <f>IF($B130="","",IFERROR(VLOOKUP($B130,'Типы элементов'!$A$2:$J$15,4,FALSE),""))</f>
        <v/>
      </c>
      <c r="F130" s="9" t="str">
        <f>IF($B130="","",IFERROR(VLOOKUP($B130,'Типы элементов'!$A$2:$J$15,5,FALSE),""))</f>
        <v/>
      </c>
      <c r="G130" s="9" t="str">
        <f>IF($B130="","",IFERROR(VLOOKUP($B130,'Типы элементов'!$A$2:$J$15,6,FALSE),""))</f>
        <v/>
      </c>
      <c r="H130" s="9" t="str">
        <f>IF($B130="","",IFERROR(VLOOKUP($B130,'Типы элементов'!$A$2:$J$15,7,FALSE),""))</f>
        <v/>
      </c>
      <c r="I130" s="9" t="str">
        <f>IF($B130="","",IFERROR(VLOOKUP($B130,'Типы элементов'!$A$2:$J$15,8,FALSE),""))</f>
        <v/>
      </c>
      <c r="J130" s="9" t="str">
        <f>IF($B130="","",IFERROR(VLOOKUP($B130,'Типы элементов'!$A$2:$J$15,9,FALSE),""))</f>
        <v/>
      </c>
      <c r="K130" s="10" t="str">
        <f>IF($B130="","",IFERROR(VLOOKUP($B130,'Типы элементов'!$A$2:$J$15,10,FALSE),""))</f>
        <v/>
      </c>
      <c r="L130" s="6"/>
      <c r="M130" s="6"/>
      <c r="N130" s="6"/>
      <c r="O130" s="6"/>
      <c r="P130" s="6"/>
    </row>
    <row r="131" spans="1:16">
      <c r="A131" s="6"/>
      <c r="B131" s="6"/>
      <c r="C131" s="9" t="str">
        <f>IF($B131="","",IFERROR(VLOOKUP($B131,'Типы элементов'!$A$2:$J$15,2,FALSE),""))</f>
        <v/>
      </c>
      <c r="D131" s="9" t="str">
        <f>IF($B131="","",IFERROR(VLOOKUP($B131,'Типы элементов'!$A$2:$J$15,3,FALSE),""))</f>
        <v/>
      </c>
      <c r="E131" s="9" t="str">
        <f>IF($B131="","",IFERROR(VLOOKUP($B131,'Типы элементов'!$A$2:$J$15,4,FALSE),""))</f>
        <v/>
      </c>
      <c r="F131" s="9" t="str">
        <f>IF($B131="","",IFERROR(VLOOKUP($B131,'Типы элементов'!$A$2:$J$15,5,FALSE),""))</f>
        <v/>
      </c>
      <c r="G131" s="9" t="str">
        <f>IF($B131="","",IFERROR(VLOOKUP($B131,'Типы элементов'!$A$2:$J$15,6,FALSE),""))</f>
        <v/>
      </c>
      <c r="H131" s="9" t="str">
        <f>IF($B131="","",IFERROR(VLOOKUP($B131,'Типы элементов'!$A$2:$J$15,7,FALSE),""))</f>
        <v/>
      </c>
      <c r="I131" s="9" t="str">
        <f>IF($B131="","",IFERROR(VLOOKUP($B131,'Типы элементов'!$A$2:$J$15,8,FALSE),""))</f>
        <v/>
      </c>
      <c r="J131" s="9" t="str">
        <f>IF($B131="","",IFERROR(VLOOKUP($B131,'Типы элементов'!$A$2:$J$15,9,FALSE),""))</f>
        <v/>
      </c>
      <c r="K131" s="10" t="str">
        <f>IF($B131="","",IFERROR(VLOOKUP($B131,'Типы элементов'!$A$2:$J$15,10,FALSE),""))</f>
        <v/>
      </c>
      <c r="L131" s="6"/>
      <c r="M131" s="6"/>
      <c r="N131" s="6"/>
      <c r="O131" s="6"/>
      <c r="P131" s="6"/>
    </row>
    <row r="132" spans="1:16">
      <c r="A132" s="6"/>
      <c r="B132" s="6"/>
      <c r="C132" s="9" t="str">
        <f>IF($B132="","",IFERROR(VLOOKUP($B132,'Типы элементов'!$A$2:$J$15,2,FALSE),""))</f>
        <v/>
      </c>
      <c r="D132" s="9" t="str">
        <f>IF($B132="","",IFERROR(VLOOKUP($B132,'Типы элементов'!$A$2:$J$15,3,FALSE),""))</f>
        <v/>
      </c>
      <c r="E132" s="9" t="str">
        <f>IF($B132="","",IFERROR(VLOOKUP($B132,'Типы элементов'!$A$2:$J$15,4,FALSE),""))</f>
        <v/>
      </c>
      <c r="F132" s="9" t="str">
        <f>IF($B132="","",IFERROR(VLOOKUP($B132,'Типы элементов'!$A$2:$J$15,5,FALSE),""))</f>
        <v/>
      </c>
      <c r="G132" s="9" t="str">
        <f>IF($B132="","",IFERROR(VLOOKUP($B132,'Типы элементов'!$A$2:$J$15,6,FALSE),""))</f>
        <v/>
      </c>
      <c r="H132" s="9" t="str">
        <f>IF($B132="","",IFERROR(VLOOKUP($B132,'Типы элементов'!$A$2:$J$15,7,FALSE),""))</f>
        <v/>
      </c>
      <c r="I132" s="9" t="str">
        <f>IF($B132="","",IFERROR(VLOOKUP($B132,'Типы элементов'!$A$2:$J$15,8,FALSE),""))</f>
        <v/>
      </c>
      <c r="J132" s="9" t="str">
        <f>IF($B132="","",IFERROR(VLOOKUP($B132,'Типы элементов'!$A$2:$J$15,9,FALSE),""))</f>
        <v/>
      </c>
      <c r="K132" s="10" t="str">
        <f>IF($B132="","",IFERROR(VLOOKUP($B132,'Типы элементов'!$A$2:$J$15,10,FALSE),""))</f>
        <v/>
      </c>
      <c r="L132" s="6"/>
      <c r="M132" s="6"/>
      <c r="N132" s="6"/>
      <c r="O132" s="6"/>
      <c r="P132" s="6"/>
    </row>
    <row r="133" spans="1:16">
      <c r="A133" s="6"/>
      <c r="B133" s="6"/>
      <c r="C133" s="9" t="str">
        <f>IF($B133="","",IFERROR(VLOOKUP($B133,'Типы элементов'!$A$2:$J$15,2,FALSE),""))</f>
        <v/>
      </c>
      <c r="D133" s="9" t="str">
        <f>IF($B133="","",IFERROR(VLOOKUP($B133,'Типы элементов'!$A$2:$J$15,3,FALSE),""))</f>
        <v/>
      </c>
      <c r="E133" s="9" t="str">
        <f>IF($B133="","",IFERROR(VLOOKUP($B133,'Типы элементов'!$A$2:$J$15,4,FALSE),""))</f>
        <v/>
      </c>
      <c r="F133" s="9" t="str">
        <f>IF($B133="","",IFERROR(VLOOKUP($B133,'Типы элементов'!$A$2:$J$15,5,FALSE),""))</f>
        <v/>
      </c>
      <c r="G133" s="9" t="str">
        <f>IF($B133="","",IFERROR(VLOOKUP($B133,'Типы элементов'!$A$2:$J$15,6,FALSE),""))</f>
        <v/>
      </c>
      <c r="H133" s="9" t="str">
        <f>IF($B133="","",IFERROR(VLOOKUP($B133,'Типы элементов'!$A$2:$J$15,7,FALSE),""))</f>
        <v/>
      </c>
      <c r="I133" s="9" t="str">
        <f>IF($B133="","",IFERROR(VLOOKUP($B133,'Типы элементов'!$A$2:$J$15,8,FALSE),""))</f>
        <v/>
      </c>
      <c r="J133" s="9" t="str">
        <f>IF($B133="","",IFERROR(VLOOKUP($B133,'Типы элементов'!$A$2:$J$15,9,FALSE),""))</f>
        <v/>
      </c>
      <c r="K133" s="10" t="str">
        <f>IF($B133="","",IFERROR(VLOOKUP($B133,'Типы элементов'!$A$2:$J$15,10,FALSE),""))</f>
        <v/>
      </c>
      <c r="L133" s="6"/>
      <c r="M133" s="6"/>
      <c r="N133" s="6"/>
      <c r="O133" s="6"/>
      <c r="P133" s="6"/>
    </row>
    <row r="134" spans="1:16">
      <c r="A134" s="6"/>
      <c r="B134" s="6"/>
      <c r="C134" s="9" t="str">
        <f>IF($B134="","",IFERROR(VLOOKUP($B134,'Типы элементов'!$A$2:$J$15,2,FALSE),""))</f>
        <v/>
      </c>
      <c r="D134" s="9" t="str">
        <f>IF($B134="","",IFERROR(VLOOKUP($B134,'Типы элементов'!$A$2:$J$15,3,FALSE),""))</f>
        <v/>
      </c>
      <c r="E134" s="9" t="str">
        <f>IF($B134="","",IFERROR(VLOOKUP($B134,'Типы элементов'!$A$2:$J$15,4,FALSE),""))</f>
        <v/>
      </c>
      <c r="F134" s="9" t="str">
        <f>IF($B134="","",IFERROR(VLOOKUP($B134,'Типы элементов'!$A$2:$J$15,5,FALSE),""))</f>
        <v/>
      </c>
      <c r="G134" s="9" t="str">
        <f>IF($B134="","",IFERROR(VLOOKUP($B134,'Типы элементов'!$A$2:$J$15,6,FALSE),""))</f>
        <v/>
      </c>
      <c r="H134" s="9" t="str">
        <f>IF($B134="","",IFERROR(VLOOKUP($B134,'Типы элементов'!$A$2:$J$15,7,FALSE),""))</f>
        <v/>
      </c>
      <c r="I134" s="9" t="str">
        <f>IF($B134="","",IFERROR(VLOOKUP($B134,'Типы элементов'!$A$2:$J$15,8,FALSE),""))</f>
        <v/>
      </c>
      <c r="J134" s="9" t="str">
        <f>IF($B134="","",IFERROR(VLOOKUP($B134,'Типы элементов'!$A$2:$J$15,9,FALSE),""))</f>
        <v/>
      </c>
      <c r="K134" s="10" t="str">
        <f>IF($B134="","",IFERROR(VLOOKUP($B134,'Типы элементов'!$A$2:$J$15,10,FALSE),""))</f>
        <v/>
      </c>
      <c r="L134" s="6"/>
      <c r="M134" s="6"/>
      <c r="N134" s="6"/>
      <c r="O134" s="6"/>
      <c r="P134" s="6"/>
    </row>
    <row r="135" spans="1:16">
      <c r="A135" s="6"/>
      <c r="B135" s="6"/>
      <c r="C135" s="9" t="str">
        <f>IF($B135="","",IFERROR(VLOOKUP($B135,'Типы элементов'!$A$2:$J$15,2,FALSE),""))</f>
        <v/>
      </c>
      <c r="D135" s="9" t="str">
        <f>IF($B135="","",IFERROR(VLOOKUP($B135,'Типы элементов'!$A$2:$J$15,3,FALSE),""))</f>
        <v/>
      </c>
      <c r="E135" s="9" t="str">
        <f>IF($B135="","",IFERROR(VLOOKUP($B135,'Типы элементов'!$A$2:$J$15,4,FALSE),""))</f>
        <v/>
      </c>
      <c r="F135" s="9" t="str">
        <f>IF($B135="","",IFERROR(VLOOKUP($B135,'Типы элементов'!$A$2:$J$15,5,FALSE),""))</f>
        <v/>
      </c>
      <c r="G135" s="9" t="str">
        <f>IF($B135="","",IFERROR(VLOOKUP($B135,'Типы элементов'!$A$2:$J$15,6,FALSE),""))</f>
        <v/>
      </c>
      <c r="H135" s="9" t="str">
        <f>IF($B135="","",IFERROR(VLOOKUP($B135,'Типы элементов'!$A$2:$J$15,7,FALSE),""))</f>
        <v/>
      </c>
      <c r="I135" s="9" t="str">
        <f>IF($B135="","",IFERROR(VLOOKUP($B135,'Типы элементов'!$A$2:$J$15,8,FALSE),""))</f>
        <v/>
      </c>
      <c r="J135" s="9" t="str">
        <f>IF($B135="","",IFERROR(VLOOKUP($B135,'Типы элементов'!$A$2:$J$15,9,FALSE),""))</f>
        <v/>
      </c>
      <c r="K135" s="10" t="str">
        <f>IF($B135="","",IFERROR(VLOOKUP($B135,'Типы элементов'!$A$2:$J$15,10,FALSE),""))</f>
        <v/>
      </c>
      <c r="L135" s="6"/>
      <c r="M135" s="6"/>
      <c r="N135" s="6"/>
      <c r="O135" s="6"/>
      <c r="P135" s="6"/>
    </row>
    <row r="136" spans="1:16">
      <c r="A136" s="6"/>
      <c r="B136" s="6"/>
      <c r="C136" s="9" t="str">
        <f>IF($B136="","",IFERROR(VLOOKUP($B136,'Типы элементов'!$A$2:$J$15,2,FALSE),""))</f>
        <v/>
      </c>
      <c r="D136" s="9" t="str">
        <f>IF($B136="","",IFERROR(VLOOKUP($B136,'Типы элементов'!$A$2:$J$15,3,FALSE),""))</f>
        <v/>
      </c>
      <c r="E136" s="9" t="str">
        <f>IF($B136="","",IFERROR(VLOOKUP($B136,'Типы элементов'!$A$2:$J$15,4,FALSE),""))</f>
        <v/>
      </c>
      <c r="F136" s="9" t="str">
        <f>IF($B136="","",IFERROR(VLOOKUP($B136,'Типы элементов'!$A$2:$J$15,5,FALSE),""))</f>
        <v/>
      </c>
      <c r="G136" s="9" t="str">
        <f>IF($B136="","",IFERROR(VLOOKUP($B136,'Типы элементов'!$A$2:$J$15,6,FALSE),""))</f>
        <v/>
      </c>
      <c r="H136" s="9" t="str">
        <f>IF($B136="","",IFERROR(VLOOKUP($B136,'Типы элементов'!$A$2:$J$15,7,FALSE),""))</f>
        <v/>
      </c>
      <c r="I136" s="9" t="str">
        <f>IF($B136="","",IFERROR(VLOOKUP($B136,'Типы элементов'!$A$2:$J$15,8,FALSE),""))</f>
        <v/>
      </c>
      <c r="J136" s="9" t="str">
        <f>IF($B136="","",IFERROR(VLOOKUP($B136,'Типы элементов'!$A$2:$J$15,9,FALSE),""))</f>
        <v/>
      </c>
      <c r="K136" s="10" t="str">
        <f>IF($B136="","",IFERROR(VLOOKUP($B136,'Типы элементов'!$A$2:$J$15,10,FALSE),""))</f>
        <v/>
      </c>
      <c r="L136" s="6"/>
      <c r="M136" s="6"/>
      <c r="N136" s="6"/>
      <c r="O136" s="6"/>
      <c r="P136" s="6"/>
    </row>
    <row r="137" spans="1:16">
      <c r="A137" s="6"/>
      <c r="B137" s="6"/>
      <c r="C137" s="9" t="str">
        <f>IF($B137="","",IFERROR(VLOOKUP($B137,'Типы элементов'!$A$2:$J$15,2,FALSE),""))</f>
        <v/>
      </c>
      <c r="D137" s="9" t="str">
        <f>IF($B137="","",IFERROR(VLOOKUP($B137,'Типы элементов'!$A$2:$J$15,3,FALSE),""))</f>
        <v/>
      </c>
      <c r="E137" s="9" t="str">
        <f>IF($B137="","",IFERROR(VLOOKUP($B137,'Типы элементов'!$A$2:$J$15,4,FALSE),""))</f>
        <v/>
      </c>
      <c r="F137" s="9" t="str">
        <f>IF($B137="","",IFERROR(VLOOKUP($B137,'Типы элементов'!$A$2:$J$15,5,FALSE),""))</f>
        <v/>
      </c>
      <c r="G137" s="9" t="str">
        <f>IF($B137="","",IFERROR(VLOOKUP($B137,'Типы элементов'!$A$2:$J$15,6,FALSE),""))</f>
        <v/>
      </c>
      <c r="H137" s="9" t="str">
        <f>IF($B137="","",IFERROR(VLOOKUP($B137,'Типы элементов'!$A$2:$J$15,7,FALSE),""))</f>
        <v/>
      </c>
      <c r="I137" s="9" t="str">
        <f>IF($B137="","",IFERROR(VLOOKUP($B137,'Типы элементов'!$A$2:$J$15,8,FALSE),""))</f>
        <v/>
      </c>
      <c r="J137" s="9" t="str">
        <f>IF($B137="","",IFERROR(VLOOKUP($B137,'Типы элементов'!$A$2:$J$15,9,FALSE),""))</f>
        <v/>
      </c>
      <c r="K137" s="10" t="str">
        <f>IF($B137="","",IFERROR(VLOOKUP($B137,'Типы элементов'!$A$2:$J$15,10,FALSE),""))</f>
        <v/>
      </c>
      <c r="L137" s="6"/>
      <c r="M137" s="6"/>
      <c r="N137" s="6"/>
      <c r="O137" s="6"/>
      <c r="P137" s="6"/>
    </row>
    <row r="138" spans="1:16">
      <c r="A138" s="6"/>
      <c r="B138" s="6"/>
      <c r="C138" s="9" t="str">
        <f>IF($B138="","",IFERROR(VLOOKUP($B138,'Типы элементов'!$A$2:$J$15,2,FALSE),""))</f>
        <v/>
      </c>
      <c r="D138" s="9" t="str">
        <f>IF($B138="","",IFERROR(VLOOKUP($B138,'Типы элементов'!$A$2:$J$15,3,FALSE),""))</f>
        <v/>
      </c>
      <c r="E138" s="9" t="str">
        <f>IF($B138="","",IFERROR(VLOOKUP($B138,'Типы элементов'!$A$2:$J$15,4,FALSE),""))</f>
        <v/>
      </c>
      <c r="F138" s="9" t="str">
        <f>IF($B138="","",IFERROR(VLOOKUP($B138,'Типы элементов'!$A$2:$J$15,5,FALSE),""))</f>
        <v/>
      </c>
      <c r="G138" s="9" t="str">
        <f>IF($B138="","",IFERROR(VLOOKUP($B138,'Типы элементов'!$A$2:$J$15,6,FALSE),""))</f>
        <v/>
      </c>
      <c r="H138" s="9" t="str">
        <f>IF($B138="","",IFERROR(VLOOKUP($B138,'Типы элементов'!$A$2:$J$15,7,FALSE),""))</f>
        <v/>
      </c>
      <c r="I138" s="9" t="str">
        <f>IF($B138="","",IFERROR(VLOOKUP($B138,'Типы элементов'!$A$2:$J$15,8,FALSE),""))</f>
        <v/>
      </c>
      <c r="J138" s="9" t="str">
        <f>IF($B138="","",IFERROR(VLOOKUP($B138,'Типы элементов'!$A$2:$J$15,9,FALSE),""))</f>
        <v/>
      </c>
      <c r="K138" s="10" t="str">
        <f>IF($B138="","",IFERROR(VLOOKUP($B138,'Типы элементов'!$A$2:$J$15,10,FALSE),""))</f>
        <v/>
      </c>
      <c r="L138" s="6"/>
      <c r="M138" s="6"/>
      <c r="N138" s="6"/>
      <c r="O138" s="6"/>
      <c r="P138" s="6"/>
    </row>
    <row r="139" spans="1:16">
      <c r="A139" s="6"/>
      <c r="B139" s="6"/>
      <c r="C139" s="9" t="str">
        <f>IF($B139="","",IFERROR(VLOOKUP($B139,'Типы элементов'!$A$2:$J$15,2,FALSE),""))</f>
        <v/>
      </c>
      <c r="D139" s="9" t="str">
        <f>IF($B139="","",IFERROR(VLOOKUP($B139,'Типы элементов'!$A$2:$J$15,3,FALSE),""))</f>
        <v/>
      </c>
      <c r="E139" s="9" t="str">
        <f>IF($B139="","",IFERROR(VLOOKUP($B139,'Типы элементов'!$A$2:$J$15,4,FALSE),""))</f>
        <v/>
      </c>
      <c r="F139" s="9" t="str">
        <f>IF($B139="","",IFERROR(VLOOKUP($B139,'Типы элементов'!$A$2:$J$15,5,FALSE),""))</f>
        <v/>
      </c>
      <c r="G139" s="9" t="str">
        <f>IF($B139="","",IFERROR(VLOOKUP($B139,'Типы элементов'!$A$2:$J$15,6,FALSE),""))</f>
        <v/>
      </c>
      <c r="H139" s="9" t="str">
        <f>IF($B139="","",IFERROR(VLOOKUP($B139,'Типы элементов'!$A$2:$J$15,7,FALSE),""))</f>
        <v/>
      </c>
      <c r="I139" s="9" t="str">
        <f>IF($B139="","",IFERROR(VLOOKUP($B139,'Типы элементов'!$A$2:$J$15,8,FALSE),""))</f>
        <v/>
      </c>
      <c r="J139" s="9" t="str">
        <f>IF($B139="","",IFERROR(VLOOKUP($B139,'Типы элементов'!$A$2:$J$15,9,FALSE),""))</f>
        <v/>
      </c>
      <c r="K139" s="10" t="str">
        <f>IF($B139="","",IFERROR(VLOOKUP($B139,'Типы элементов'!$A$2:$J$15,10,FALSE),""))</f>
        <v/>
      </c>
      <c r="L139" s="6"/>
      <c r="M139" s="6"/>
      <c r="N139" s="6"/>
      <c r="O139" s="6"/>
      <c r="P139" s="6"/>
    </row>
    <row r="140" spans="1:16">
      <c r="A140" s="6"/>
      <c r="B140" s="6"/>
      <c r="C140" s="9" t="str">
        <f>IF($B140="","",IFERROR(VLOOKUP($B140,'Типы элементов'!$A$2:$J$15,2,FALSE),""))</f>
        <v/>
      </c>
      <c r="D140" s="9" t="str">
        <f>IF($B140="","",IFERROR(VLOOKUP($B140,'Типы элементов'!$A$2:$J$15,3,FALSE),""))</f>
        <v/>
      </c>
      <c r="E140" s="9" t="str">
        <f>IF($B140="","",IFERROR(VLOOKUP($B140,'Типы элементов'!$A$2:$J$15,4,FALSE),""))</f>
        <v/>
      </c>
      <c r="F140" s="9" t="str">
        <f>IF($B140="","",IFERROR(VLOOKUP($B140,'Типы элементов'!$A$2:$J$15,5,FALSE),""))</f>
        <v/>
      </c>
      <c r="G140" s="9" t="str">
        <f>IF($B140="","",IFERROR(VLOOKUP($B140,'Типы элементов'!$A$2:$J$15,6,FALSE),""))</f>
        <v/>
      </c>
      <c r="H140" s="9" t="str">
        <f>IF($B140="","",IFERROR(VLOOKUP($B140,'Типы элементов'!$A$2:$J$15,7,FALSE),""))</f>
        <v/>
      </c>
      <c r="I140" s="9" t="str">
        <f>IF($B140="","",IFERROR(VLOOKUP($B140,'Типы элементов'!$A$2:$J$15,8,FALSE),""))</f>
        <v/>
      </c>
      <c r="J140" s="9" t="str">
        <f>IF($B140="","",IFERROR(VLOOKUP($B140,'Типы элементов'!$A$2:$J$15,9,FALSE),""))</f>
        <v/>
      </c>
      <c r="K140" s="10" t="str">
        <f>IF($B140="","",IFERROR(VLOOKUP($B140,'Типы элементов'!$A$2:$J$15,10,FALSE),""))</f>
        <v/>
      </c>
      <c r="L140" s="6"/>
      <c r="M140" s="6"/>
      <c r="N140" s="6"/>
      <c r="O140" s="6"/>
      <c r="P140" s="6"/>
    </row>
    <row r="141" spans="1:16">
      <c r="A141" s="6"/>
      <c r="B141" s="6"/>
      <c r="C141" s="9" t="str">
        <f>IF($B141="","",IFERROR(VLOOKUP($B141,'Типы элементов'!$A$2:$J$15,2,FALSE),""))</f>
        <v/>
      </c>
      <c r="D141" s="9" t="str">
        <f>IF($B141="","",IFERROR(VLOOKUP($B141,'Типы элементов'!$A$2:$J$15,3,FALSE),""))</f>
        <v/>
      </c>
      <c r="E141" s="9" t="str">
        <f>IF($B141="","",IFERROR(VLOOKUP($B141,'Типы элементов'!$A$2:$J$15,4,FALSE),""))</f>
        <v/>
      </c>
      <c r="F141" s="9" t="str">
        <f>IF($B141="","",IFERROR(VLOOKUP($B141,'Типы элементов'!$A$2:$J$15,5,FALSE),""))</f>
        <v/>
      </c>
      <c r="G141" s="9" t="str">
        <f>IF($B141="","",IFERROR(VLOOKUP($B141,'Типы элементов'!$A$2:$J$15,6,FALSE),""))</f>
        <v/>
      </c>
      <c r="H141" s="9" t="str">
        <f>IF($B141="","",IFERROR(VLOOKUP($B141,'Типы элементов'!$A$2:$J$15,7,FALSE),""))</f>
        <v/>
      </c>
      <c r="I141" s="9" t="str">
        <f>IF($B141="","",IFERROR(VLOOKUP($B141,'Типы элементов'!$A$2:$J$15,8,FALSE),""))</f>
        <v/>
      </c>
      <c r="J141" s="9" t="str">
        <f>IF($B141="","",IFERROR(VLOOKUP($B141,'Типы элементов'!$A$2:$J$15,9,FALSE),""))</f>
        <v/>
      </c>
      <c r="K141" s="10" t="str">
        <f>IF($B141="","",IFERROR(VLOOKUP($B141,'Типы элементов'!$A$2:$J$15,10,FALSE),""))</f>
        <v/>
      </c>
      <c r="L141" s="6"/>
      <c r="M141" s="6"/>
      <c r="N141" s="6"/>
      <c r="O141" s="6"/>
      <c r="P141" s="6"/>
    </row>
    <row r="142" spans="1:16">
      <c r="A142" s="6"/>
      <c r="B142" s="6"/>
      <c r="C142" s="9" t="str">
        <f>IF($B142="","",IFERROR(VLOOKUP($B142,'Типы элементов'!$A$2:$J$15,2,FALSE),""))</f>
        <v/>
      </c>
      <c r="D142" s="9" t="str">
        <f>IF($B142="","",IFERROR(VLOOKUP($B142,'Типы элементов'!$A$2:$J$15,3,FALSE),""))</f>
        <v/>
      </c>
      <c r="E142" s="9" t="str">
        <f>IF($B142="","",IFERROR(VLOOKUP($B142,'Типы элементов'!$A$2:$J$15,4,FALSE),""))</f>
        <v/>
      </c>
      <c r="F142" s="9" t="str">
        <f>IF($B142="","",IFERROR(VLOOKUP($B142,'Типы элементов'!$A$2:$J$15,5,FALSE),""))</f>
        <v/>
      </c>
      <c r="G142" s="9" t="str">
        <f>IF($B142="","",IFERROR(VLOOKUP($B142,'Типы элементов'!$A$2:$J$15,6,FALSE),""))</f>
        <v/>
      </c>
      <c r="H142" s="9" t="str">
        <f>IF($B142="","",IFERROR(VLOOKUP($B142,'Типы элементов'!$A$2:$J$15,7,FALSE),""))</f>
        <v/>
      </c>
      <c r="I142" s="9" t="str">
        <f>IF($B142="","",IFERROR(VLOOKUP($B142,'Типы элементов'!$A$2:$J$15,8,FALSE),""))</f>
        <v/>
      </c>
      <c r="J142" s="9" t="str">
        <f>IF($B142="","",IFERROR(VLOOKUP($B142,'Типы элементов'!$A$2:$J$15,9,FALSE),""))</f>
        <v/>
      </c>
      <c r="K142" s="10" t="str">
        <f>IF($B142="","",IFERROR(VLOOKUP($B142,'Типы элементов'!$A$2:$J$15,10,FALSE),""))</f>
        <v/>
      </c>
      <c r="L142" s="6"/>
      <c r="M142" s="6"/>
      <c r="N142" s="6"/>
      <c r="O142" s="6"/>
      <c r="P142" s="6"/>
    </row>
    <row r="143" spans="1:16">
      <c r="A143" s="6"/>
      <c r="B143" s="6"/>
      <c r="C143" s="9" t="str">
        <f>IF($B143="","",IFERROR(VLOOKUP($B143,'Типы элементов'!$A$2:$J$15,2,FALSE),""))</f>
        <v/>
      </c>
      <c r="D143" s="9" t="str">
        <f>IF($B143="","",IFERROR(VLOOKUP($B143,'Типы элементов'!$A$2:$J$15,3,FALSE),""))</f>
        <v/>
      </c>
      <c r="E143" s="9" t="str">
        <f>IF($B143="","",IFERROR(VLOOKUP($B143,'Типы элементов'!$A$2:$J$15,4,FALSE),""))</f>
        <v/>
      </c>
      <c r="F143" s="9" t="str">
        <f>IF($B143="","",IFERROR(VLOOKUP($B143,'Типы элементов'!$A$2:$J$15,5,FALSE),""))</f>
        <v/>
      </c>
      <c r="G143" s="9" t="str">
        <f>IF($B143="","",IFERROR(VLOOKUP($B143,'Типы элементов'!$A$2:$J$15,6,FALSE),""))</f>
        <v/>
      </c>
      <c r="H143" s="9" t="str">
        <f>IF($B143="","",IFERROR(VLOOKUP($B143,'Типы элементов'!$A$2:$J$15,7,FALSE),""))</f>
        <v/>
      </c>
      <c r="I143" s="9" t="str">
        <f>IF($B143="","",IFERROR(VLOOKUP($B143,'Типы элементов'!$A$2:$J$15,8,FALSE),""))</f>
        <v/>
      </c>
      <c r="J143" s="9" t="str">
        <f>IF($B143="","",IFERROR(VLOOKUP($B143,'Типы элементов'!$A$2:$J$15,9,FALSE),""))</f>
        <v/>
      </c>
      <c r="K143" s="10" t="str">
        <f>IF($B143="","",IFERROR(VLOOKUP($B143,'Типы элементов'!$A$2:$J$15,10,FALSE),""))</f>
        <v/>
      </c>
      <c r="L143" s="6"/>
      <c r="M143" s="6"/>
      <c r="N143" s="6"/>
      <c r="O143" s="6"/>
      <c r="P143" s="6"/>
    </row>
    <row r="144" spans="1:16">
      <c r="A144" s="6"/>
      <c r="B144" s="6"/>
      <c r="C144" s="9" t="str">
        <f>IF($B144="","",IFERROR(VLOOKUP($B144,'Типы элементов'!$A$2:$J$15,2,FALSE),""))</f>
        <v/>
      </c>
      <c r="D144" s="9" t="str">
        <f>IF($B144="","",IFERROR(VLOOKUP($B144,'Типы элементов'!$A$2:$J$15,3,FALSE),""))</f>
        <v/>
      </c>
      <c r="E144" s="9" t="str">
        <f>IF($B144="","",IFERROR(VLOOKUP($B144,'Типы элементов'!$A$2:$J$15,4,FALSE),""))</f>
        <v/>
      </c>
      <c r="F144" s="9" t="str">
        <f>IF($B144="","",IFERROR(VLOOKUP($B144,'Типы элементов'!$A$2:$J$15,5,FALSE),""))</f>
        <v/>
      </c>
      <c r="G144" s="9" t="str">
        <f>IF($B144="","",IFERROR(VLOOKUP($B144,'Типы элементов'!$A$2:$J$15,6,FALSE),""))</f>
        <v/>
      </c>
      <c r="H144" s="9" t="str">
        <f>IF($B144="","",IFERROR(VLOOKUP($B144,'Типы элементов'!$A$2:$J$15,7,FALSE),""))</f>
        <v/>
      </c>
      <c r="I144" s="9" t="str">
        <f>IF($B144="","",IFERROR(VLOOKUP($B144,'Типы элементов'!$A$2:$J$15,8,FALSE),""))</f>
        <v/>
      </c>
      <c r="J144" s="9" t="str">
        <f>IF($B144="","",IFERROR(VLOOKUP($B144,'Типы элементов'!$A$2:$J$15,9,FALSE),""))</f>
        <v/>
      </c>
      <c r="K144" s="10" t="str">
        <f>IF($B144="","",IFERROR(VLOOKUP($B144,'Типы элементов'!$A$2:$J$15,10,FALSE),""))</f>
        <v/>
      </c>
      <c r="L144" s="6"/>
      <c r="M144" s="6"/>
      <c r="N144" s="6"/>
      <c r="O144" s="6"/>
      <c r="P144" s="6"/>
    </row>
    <row r="145" spans="1:16">
      <c r="A145" s="6"/>
      <c r="B145" s="6"/>
      <c r="C145" s="9" t="str">
        <f>IF($B145="","",IFERROR(VLOOKUP($B145,'Типы элементов'!$A$2:$J$15,2,FALSE),""))</f>
        <v/>
      </c>
      <c r="D145" s="9" t="str">
        <f>IF($B145="","",IFERROR(VLOOKUP($B145,'Типы элементов'!$A$2:$J$15,3,FALSE),""))</f>
        <v/>
      </c>
      <c r="E145" s="9" t="str">
        <f>IF($B145="","",IFERROR(VLOOKUP($B145,'Типы элементов'!$A$2:$J$15,4,FALSE),""))</f>
        <v/>
      </c>
      <c r="F145" s="9" t="str">
        <f>IF($B145="","",IFERROR(VLOOKUP($B145,'Типы элементов'!$A$2:$J$15,5,FALSE),""))</f>
        <v/>
      </c>
      <c r="G145" s="9" t="str">
        <f>IF($B145="","",IFERROR(VLOOKUP($B145,'Типы элементов'!$A$2:$J$15,6,FALSE),""))</f>
        <v/>
      </c>
      <c r="H145" s="9" t="str">
        <f>IF($B145="","",IFERROR(VLOOKUP($B145,'Типы элементов'!$A$2:$J$15,7,FALSE),""))</f>
        <v/>
      </c>
      <c r="I145" s="9" t="str">
        <f>IF($B145="","",IFERROR(VLOOKUP($B145,'Типы элементов'!$A$2:$J$15,8,FALSE),""))</f>
        <v/>
      </c>
      <c r="J145" s="9" t="str">
        <f>IF($B145="","",IFERROR(VLOOKUP($B145,'Типы элементов'!$A$2:$J$15,9,FALSE),""))</f>
        <v/>
      </c>
      <c r="K145" s="10" t="str">
        <f>IF($B145="","",IFERROR(VLOOKUP($B145,'Типы элементов'!$A$2:$J$15,10,FALSE),""))</f>
        <v/>
      </c>
      <c r="L145" s="6"/>
      <c r="M145" s="6"/>
      <c r="N145" s="6"/>
      <c r="O145" s="6"/>
      <c r="P145" s="6"/>
    </row>
    <row r="146" spans="1:16">
      <c r="A146" s="6"/>
      <c r="B146" s="6"/>
      <c r="C146" s="9" t="str">
        <f>IF($B146="","",IFERROR(VLOOKUP($B146,'Типы элементов'!$A$2:$J$15,2,FALSE),""))</f>
        <v/>
      </c>
      <c r="D146" s="9" t="str">
        <f>IF($B146="","",IFERROR(VLOOKUP($B146,'Типы элементов'!$A$2:$J$15,3,FALSE),""))</f>
        <v/>
      </c>
      <c r="E146" s="9" t="str">
        <f>IF($B146="","",IFERROR(VLOOKUP($B146,'Типы элементов'!$A$2:$J$15,4,FALSE),""))</f>
        <v/>
      </c>
      <c r="F146" s="9" t="str">
        <f>IF($B146="","",IFERROR(VLOOKUP($B146,'Типы элементов'!$A$2:$J$15,5,FALSE),""))</f>
        <v/>
      </c>
      <c r="G146" s="9" t="str">
        <f>IF($B146="","",IFERROR(VLOOKUP($B146,'Типы элементов'!$A$2:$J$15,6,FALSE),""))</f>
        <v/>
      </c>
      <c r="H146" s="9" t="str">
        <f>IF($B146="","",IFERROR(VLOOKUP($B146,'Типы элементов'!$A$2:$J$15,7,FALSE),""))</f>
        <v/>
      </c>
      <c r="I146" s="9" t="str">
        <f>IF($B146="","",IFERROR(VLOOKUP($B146,'Типы элементов'!$A$2:$J$15,8,FALSE),""))</f>
        <v/>
      </c>
      <c r="J146" s="9" t="str">
        <f>IF($B146="","",IFERROR(VLOOKUP($B146,'Типы элементов'!$A$2:$J$15,9,FALSE),""))</f>
        <v/>
      </c>
      <c r="K146" s="10" t="str">
        <f>IF($B146="","",IFERROR(VLOOKUP($B146,'Типы элементов'!$A$2:$J$15,10,FALSE),""))</f>
        <v/>
      </c>
      <c r="L146" s="6"/>
      <c r="M146" s="6"/>
      <c r="N146" s="6"/>
      <c r="O146" s="6"/>
      <c r="P146" s="6"/>
    </row>
    <row r="147" spans="1:16">
      <c r="A147" s="6"/>
      <c r="B147" s="6"/>
      <c r="C147" s="9" t="str">
        <f>IF($B147="","",IFERROR(VLOOKUP($B147,'Типы элементов'!$A$2:$J$15,2,FALSE),""))</f>
        <v/>
      </c>
      <c r="D147" s="9" t="str">
        <f>IF($B147="","",IFERROR(VLOOKUP($B147,'Типы элементов'!$A$2:$J$15,3,FALSE),""))</f>
        <v/>
      </c>
      <c r="E147" s="9" t="str">
        <f>IF($B147="","",IFERROR(VLOOKUP($B147,'Типы элементов'!$A$2:$J$15,4,FALSE),""))</f>
        <v/>
      </c>
      <c r="F147" s="9" t="str">
        <f>IF($B147="","",IFERROR(VLOOKUP($B147,'Типы элементов'!$A$2:$J$15,5,FALSE),""))</f>
        <v/>
      </c>
      <c r="G147" s="9" t="str">
        <f>IF($B147="","",IFERROR(VLOOKUP($B147,'Типы элементов'!$A$2:$J$15,6,FALSE),""))</f>
        <v/>
      </c>
      <c r="H147" s="9" t="str">
        <f>IF($B147="","",IFERROR(VLOOKUP($B147,'Типы элементов'!$A$2:$J$15,7,FALSE),""))</f>
        <v/>
      </c>
      <c r="I147" s="9" t="str">
        <f>IF($B147="","",IFERROR(VLOOKUP($B147,'Типы элементов'!$A$2:$J$15,8,FALSE),""))</f>
        <v/>
      </c>
      <c r="J147" s="9" t="str">
        <f>IF($B147="","",IFERROR(VLOOKUP($B147,'Типы элементов'!$A$2:$J$15,9,FALSE),""))</f>
        <v/>
      </c>
      <c r="K147" s="10" t="str">
        <f>IF($B147="","",IFERROR(VLOOKUP($B147,'Типы элементов'!$A$2:$J$15,10,FALSE),""))</f>
        <v/>
      </c>
      <c r="L147" s="6"/>
      <c r="M147" s="6"/>
      <c r="N147" s="6"/>
      <c r="O147" s="6"/>
      <c r="P147" s="6"/>
    </row>
    <row r="148" spans="1:16">
      <c r="A148" s="6"/>
      <c r="B148" s="6"/>
      <c r="C148" s="9" t="str">
        <f>IF($B148="","",IFERROR(VLOOKUP($B148,'Типы элементов'!$A$2:$J$15,2,FALSE),""))</f>
        <v/>
      </c>
      <c r="D148" s="9" t="str">
        <f>IF($B148="","",IFERROR(VLOOKUP($B148,'Типы элементов'!$A$2:$J$15,3,FALSE),""))</f>
        <v/>
      </c>
      <c r="E148" s="9" t="str">
        <f>IF($B148="","",IFERROR(VLOOKUP($B148,'Типы элементов'!$A$2:$J$15,4,FALSE),""))</f>
        <v/>
      </c>
      <c r="F148" s="9" t="str">
        <f>IF($B148="","",IFERROR(VLOOKUP($B148,'Типы элементов'!$A$2:$J$15,5,FALSE),""))</f>
        <v/>
      </c>
      <c r="G148" s="9" t="str">
        <f>IF($B148="","",IFERROR(VLOOKUP($B148,'Типы элементов'!$A$2:$J$15,6,FALSE),""))</f>
        <v/>
      </c>
      <c r="H148" s="9" t="str">
        <f>IF($B148="","",IFERROR(VLOOKUP($B148,'Типы элементов'!$A$2:$J$15,7,FALSE),""))</f>
        <v/>
      </c>
      <c r="I148" s="9" t="str">
        <f>IF($B148="","",IFERROR(VLOOKUP($B148,'Типы элементов'!$A$2:$J$15,8,FALSE),""))</f>
        <v/>
      </c>
      <c r="J148" s="9" t="str">
        <f>IF($B148="","",IFERROR(VLOOKUP($B148,'Типы элементов'!$A$2:$J$15,9,FALSE),""))</f>
        <v/>
      </c>
      <c r="K148" s="10" t="str">
        <f>IF($B148="","",IFERROR(VLOOKUP($B148,'Типы элементов'!$A$2:$J$15,10,FALSE),""))</f>
        <v/>
      </c>
      <c r="L148" s="6"/>
      <c r="M148" s="6"/>
      <c r="N148" s="6"/>
      <c r="O148" s="6"/>
      <c r="P148" s="6"/>
    </row>
    <row r="149" spans="1:16">
      <c r="A149" s="6"/>
      <c r="B149" s="6"/>
      <c r="C149" s="9" t="str">
        <f>IF($B149="","",IFERROR(VLOOKUP($B149,'Типы элементов'!$A$2:$J$15,2,FALSE),""))</f>
        <v/>
      </c>
      <c r="D149" s="9" t="str">
        <f>IF($B149="","",IFERROR(VLOOKUP($B149,'Типы элементов'!$A$2:$J$15,3,FALSE),""))</f>
        <v/>
      </c>
      <c r="E149" s="9" t="str">
        <f>IF($B149="","",IFERROR(VLOOKUP($B149,'Типы элементов'!$A$2:$J$15,4,FALSE),""))</f>
        <v/>
      </c>
      <c r="F149" s="9" t="str">
        <f>IF($B149="","",IFERROR(VLOOKUP($B149,'Типы элементов'!$A$2:$J$15,5,FALSE),""))</f>
        <v/>
      </c>
      <c r="G149" s="9" t="str">
        <f>IF($B149="","",IFERROR(VLOOKUP($B149,'Типы элементов'!$A$2:$J$15,6,FALSE),""))</f>
        <v/>
      </c>
      <c r="H149" s="9" t="str">
        <f>IF($B149="","",IFERROR(VLOOKUP($B149,'Типы элементов'!$A$2:$J$15,7,FALSE),""))</f>
        <v/>
      </c>
      <c r="I149" s="9" t="str">
        <f>IF($B149="","",IFERROR(VLOOKUP($B149,'Типы элементов'!$A$2:$J$15,8,FALSE),""))</f>
        <v/>
      </c>
      <c r="J149" s="9" t="str">
        <f>IF($B149="","",IFERROR(VLOOKUP($B149,'Типы элементов'!$A$2:$J$15,9,FALSE),""))</f>
        <v/>
      </c>
      <c r="K149" s="10" t="str">
        <f>IF($B149="","",IFERROR(VLOOKUP($B149,'Типы элементов'!$A$2:$J$15,10,FALSE),""))</f>
        <v/>
      </c>
      <c r="L149" s="6"/>
      <c r="M149" s="6"/>
      <c r="N149" s="6"/>
      <c r="O149" s="6"/>
      <c r="P149" s="6"/>
    </row>
    <row r="150" spans="1:16">
      <c r="A150" s="6"/>
      <c r="B150" s="6"/>
      <c r="C150" s="9" t="str">
        <f>IF($B150="","",IFERROR(VLOOKUP($B150,'Типы элементов'!$A$2:$J$15,2,FALSE),""))</f>
        <v/>
      </c>
      <c r="D150" s="9" t="str">
        <f>IF($B150="","",IFERROR(VLOOKUP($B150,'Типы элементов'!$A$2:$J$15,3,FALSE),""))</f>
        <v/>
      </c>
      <c r="E150" s="9" t="str">
        <f>IF($B150="","",IFERROR(VLOOKUP($B150,'Типы элементов'!$A$2:$J$15,4,FALSE),""))</f>
        <v/>
      </c>
      <c r="F150" s="9" t="str">
        <f>IF($B150="","",IFERROR(VLOOKUP($B150,'Типы элементов'!$A$2:$J$15,5,FALSE),""))</f>
        <v/>
      </c>
      <c r="G150" s="9" t="str">
        <f>IF($B150="","",IFERROR(VLOOKUP($B150,'Типы элементов'!$A$2:$J$15,6,FALSE),""))</f>
        <v/>
      </c>
      <c r="H150" s="9" t="str">
        <f>IF($B150="","",IFERROR(VLOOKUP($B150,'Типы элементов'!$A$2:$J$15,7,FALSE),""))</f>
        <v/>
      </c>
      <c r="I150" s="9" t="str">
        <f>IF($B150="","",IFERROR(VLOOKUP($B150,'Типы элементов'!$A$2:$J$15,8,FALSE),""))</f>
        <v/>
      </c>
      <c r="J150" s="9" t="str">
        <f>IF($B150="","",IFERROR(VLOOKUP($B150,'Типы элементов'!$A$2:$J$15,9,FALSE),""))</f>
        <v/>
      </c>
      <c r="K150" s="10" t="str">
        <f>IF($B150="","",IFERROR(VLOOKUP($B150,'Типы элементов'!$A$2:$J$15,10,FALSE),""))</f>
        <v/>
      </c>
      <c r="L150" s="6"/>
      <c r="M150" s="6"/>
      <c r="N150" s="6"/>
      <c r="O150" s="6"/>
      <c r="P150" s="6"/>
    </row>
    <row r="151" spans="1:16">
      <c r="A151" s="6"/>
      <c r="B151" s="6"/>
      <c r="C151" s="9" t="str">
        <f>IF($B151="","",IFERROR(VLOOKUP($B151,'Типы элементов'!$A$2:$J$15,2,FALSE),""))</f>
        <v/>
      </c>
      <c r="D151" s="9" t="str">
        <f>IF($B151="","",IFERROR(VLOOKUP($B151,'Типы элементов'!$A$2:$J$15,3,FALSE),""))</f>
        <v/>
      </c>
      <c r="E151" s="9" t="str">
        <f>IF($B151="","",IFERROR(VLOOKUP($B151,'Типы элементов'!$A$2:$J$15,4,FALSE),""))</f>
        <v/>
      </c>
      <c r="F151" s="9" t="str">
        <f>IF($B151="","",IFERROR(VLOOKUP($B151,'Типы элементов'!$A$2:$J$15,5,FALSE),""))</f>
        <v/>
      </c>
      <c r="G151" s="9" t="str">
        <f>IF($B151="","",IFERROR(VLOOKUP($B151,'Типы элементов'!$A$2:$J$15,6,FALSE),""))</f>
        <v/>
      </c>
      <c r="H151" s="9" t="str">
        <f>IF($B151="","",IFERROR(VLOOKUP($B151,'Типы элементов'!$A$2:$J$15,7,FALSE),""))</f>
        <v/>
      </c>
      <c r="I151" s="9" t="str">
        <f>IF($B151="","",IFERROR(VLOOKUP($B151,'Типы элементов'!$A$2:$J$15,8,FALSE),""))</f>
        <v/>
      </c>
      <c r="J151" s="9" t="str">
        <f>IF($B151="","",IFERROR(VLOOKUP($B151,'Типы элементов'!$A$2:$J$15,9,FALSE),""))</f>
        <v/>
      </c>
      <c r="K151" s="10" t="str">
        <f>IF($B151="","",IFERROR(VLOOKUP($B151,'Типы элементов'!$A$2:$J$15,10,FALSE),""))</f>
        <v/>
      </c>
      <c r="L151" s="6"/>
      <c r="M151" s="6"/>
      <c r="N151" s="6"/>
      <c r="O151" s="6"/>
      <c r="P151" s="6"/>
    </row>
    <row r="152" spans="1:16">
      <c r="A152" s="6"/>
      <c r="B152" s="6"/>
      <c r="C152" s="9" t="str">
        <f>IF($B152="","",IFERROR(VLOOKUP($B152,'Типы элементов'!$A$2:$J$15,2,FALSE),""))</f>
        <v/>
      </c>
      <c r="D152" s="9" t="str">
        <f>IF($B152="","",IFERROR(VLOOKUP($B152,'Типы элементов'!$A$2:$J$15,3,FALSE),""))</f>
        <v/>
      </c>
      <c r="E152" s="9" t="str">
        <f>IF($B152="","",IFERROR(VLOOKUP($B152,'Типы элементов'!$A$2:$J$15,4,FALSE),""))</f>
        <v/>
      </c>
      <c r="F152" s="9" t="str">
        <f>IF($B152="","",IFERROR(VLOOKUP($B152,'Типы элементов'!$A$2:$J$15,5,FALSE),""))</f>
        <v/>
      </c>
      <c r="G152" s="9" t="str">
        <f>IF($B152="","",IFERROR(VLOOKUP($B152,'Типы элементов'!$A$2:$J$15,6,FALSE),""))</f>
        <v/>
      </c>
      <c r="H152" s="9" t="str">
        <f>IF($B152="","",IFERROR(VLOOKUP($B152,'Типы элементов'!$A$2:$J$15,7,FALSE),""))</f>
        <v/>
      </c>
      <c r="I152" s="9" t="str">
        <f>IF($B152="","",IFERROR(VLOOKUP($B152,'Типы элементов'!$A$2:$J$15,8,FALSE),""))</f>
        <v/>
      </c>
      <c r="J152" s="9" t="str">
        <f>IF($B152="","",IFERROR(VLOOKUP($B152,'Типы элементов'!$A$2:$J$15,9,FALSE),""))</f>
        <v/>
      </c>
      <c r="K152" s="10" t="str">
        <f>IF($B152="","",IFERROR(VLOOKUP($B152,'Типы элементов'!$A$2:$J$15,10,FALSE),""))</f>
        <v/>
      </c>
      <c r="L152" s="6"/>
      <c r="M152" s="6"/>
      <c r="N152" s="6"/>
      <c r="O152" s="6"/>
      <c r="P152" s="6"/>
    </row>
    <row r="153" spans="1:16">
      <c r="A153" s="6"/>
      <c r="B153" s="6"/>
      <c r="C153" s="9" t="str">
        <f>IF($B153="","",IFERROR(VLOOKUP($B153,'Типы элементов'!$A$2:$J$15,2,FALSE),""))</f>
        <v/>
      </c>
      <c r="D153" s="9" t="str">
        <f>IF($B153="","",IFERROR(VLOOKUP($B153,'Типы элементов'!$A$2:$J$15,3,FALSE),""))</f>
        <v/>
      </c>
      <c r="E153" s="9" t="str">
        <f>IF($B153="","",IFERROR(VLOOKUP($B153,'Типы элементов'!$A$2:$J$15,4,FALSE),""))</f>
        <v/>
      </c>
      <c r="F153" s="9" t="str">
        <f>IF($B153="","",IFERROR(VLOOKUP($B153,'Типы элементов'!$A$2:$J$15,5,FALSE),""))</f>
        <v/>
      </c>
      <c r="G153" s="9" t="str">
        <f>IF($B153="","",IFERROR(VLOOKUP($B153,'Типы элементов'!$A$2:$J$15,6,FALSE),""))</f>
        <v/>
      </c>
      <c r="H153" s="9" t="str">
        <f>IF($B153="","",IFERROR(VLOOKUP($B153,'Типы элементов'!$A$2:$J$15,7,FALSE),""))</f>
        <v/>
      </c>
      <c r="I153" s="9" t="str">
        <f>IF($B153="","",IFERROR(VLOOKUP($B153,'Типы элементов'!$A$2:$J$15,8,FALSE),""))</f>
        <v/>
      </c>
      <c r="J153" s="9" t="str">
        <f>IF($B153="","",IFERROR(VLOOKUP($B153,'Типы элементов'!$A$2:$J$15,9,FALSE),""))</f>
        <v/>
      </c>
      <c r="K153" s="10" t="str">
        <f>IF($B153="","",IFERROR(VLOOKUP($B153,'Типы элементов'!$A$2:$J$15,10,FALSE),""))</f>
        <v/>
      </c>
      <c r="L153" s="6"/>
      <c r="M153" s="6"/>
      <c r="N153" s="6"/>
      <c r="O153" s="6"/>
      <c r="P153" s="6"/>
    </row>
    <row r="154" spans="1:16">
      <c r="A154" s="6"/>
      <c r="B154" s="6"/>
      <c r="C154" s="9" t="str">
        <f>IF($B154="","",IFERROR(VLOOKUP($B154,'Типы элементов'!$A$2:$J$15,2,FALSE),""))</f>
        <v/>
      </c>
      <c r="D154" s="9" t="str">
        <f>IF($B154="","",IFERROR(VLOOKUP($B154,'Типы элементов'!$A$2:$J$15,3,FALSE),""))</f>
        <v/>
      </c>
      <c r="E154" s="9" t="str">
        <f>IF($B154="","",IFERROR(VLOOKUP($B154,'Типы элементов'!$A$2:$J$15,4,FALSE),""))</f>
        <v/>
      </c>
      <c r="F154" s="9" t="str">
        <f>IF($B154="","",IFERROR(VLOOKUP($B154,'Типы элементов'!$A$2:$J$15,5,FALSE),""))</f>
        <v/>
      </c>
      <c r="G154" s="9" t="str">
        <f>IF($B154="","",IFERROR(VLOOKUP($B154,'Типы элементов'!$A$2:$J$15,6,FALSE),""))</f>
        <v/>
      </c>
      <c r="H154" s="9" t="str">
        <f>IF($B154="","",IFERROR(VLOOKUP($B154,'Типы элементов'!$A$2:$J$15,7,FALSE),""))</f>
        <v/>
      </c>
      <c r="I154" s="9" t="str">
        <f>IF($B154="","",IFERROR(VLOOKUP($B154,'Типы элементов'!$A$2:$J$15,8,FALSE),""))</f>
        <v/>
      </c>
      <c r="J154" s="9" t="str">
        <f>IF($B154="","",IFERROR(VLOOKUP($B154,'Типы элементов'!$A$2:$J$15,9,FALSE),""))</f>
        <v/>
      </c>
      <c r="K154" s="10" t="str">
        <f>IF($B154="","",IFERROR(VLOOKUP($B154,'Типы элементов'!$A$2:$J$15,10,FALSE),""))</f>
        <v/>
      </c>
      <c r="L154" s="6"/>
      <c r="M154" s="6"/>
      <c r="N154" s="6"/>
      <c r="O154" s="6"/>
      <c r="P154" s="6"/>
    </row>
    <row r="155" spans="1:16">
      <c r="A155" s="6"/>
      <c r="B155" s="6"/>
      <c r="C155" s="9" t="str">
        <f>IF($B155="","",IFERROR(VLOOKUP($B155,'Типы элементов'!$A$2:$J$15,2,FALSE),""))</f>
        <v/>
      </c>
      <c r="D155" s="9" t="str">
        <f>IF($B155="","",IFERROR(VLOOKUP($B155,'Типы элементов'!$A$2:$J$15,3,FALSE),""))</f>
        <v/>
      </c>
      <c r="E155" s="9" t="str">
        <f>IF($B155="","",IFERROR(VLOOKUP($B155,'Типы элементов'!$A$2:$J$15,4,FALSE),""))</f>
        <v/>
      </c>
      <c r="F155" s="9" t="str">
        <f>IF($B155="","",IFERROR(VLOOKUP($B155,'Типы элементов'!$A$2:$J$15,5,FALSE),""))</f>
        <v/>
      </c>
      <c r="G155" s="9" t="str">
        <f>IF($B155="","",IFERROR(VLOOKUP($B155,'Типы элементов'!$A$2:$J$15,6,FALSE),""))</f>
        <v/>
      </c>
      <c r="H155" s="9" t="str">
        <f>IF($B155="","",IFERROR(VLOOKUP($B155,'Типы элементов'!$A$2:$J$15,7,FALSE),""))</f>
        <v/>
      </c>
      <c r="I155" s="9" t="str">
        <f>IF($B155="","",IFERROR(VLOOKUP($B155,'Типы элементов'!$A$2:$J$15,8,FALSE),""))</f>
        <v/>
      </c>
      <c r="J155" s="9" t="str">
        <f>IF($B155="","",IFERROR(VLOOKUP($B155,'Типы элементов'!$A$2:$J$15,9,FALSE),""))</f>
        <v/>
      </c>
      <c r="K155" s="10" t="str">
        <f>IF($B155="","",IFERROR(VLOOKUP($B155,'Типы элементов'!$A$2:$J$15,10,FALSE),""))</f>
        <v/>
      </c>
      <c r="L155" s="6"/>
      <c r="M155" s="6"/>
      <c r="N155" s="6"/>
      <c r="O155" s="6"/>
      <c r="P155" s="6"/>
    </row>
    <row r="156" spans="1:16">
      <c r="A156" s="6"/>
      <c r="B156" s="6"/>
      <c r="C156" s="9" t="str">
        <f>IF($B156="","",IFERROR(VLOOKUP($B156,'Типы элементов'!$A$2:$J$15,2,FALSE),""))</f>
        <v/>
      </c>
      <c r="D156" s="9" t="str">
        <f>IF($B156="","",IFERROR(VLOOKUP($B156,'Типы элементов'!$A$2:$J$15,3,FALSE),""))</f>
        <v/>
      </c>
      <c r="E156" s="9" t="str">
        <f>IF($B156="","",IFERROR(VLOOKUP($B156,'Типы элементов'!$A$2:$J$15,4,FALSE),""))</f>
        <v/>
      </c>
      <c r="F156" s="9" t="str">
        <f>IF($B156="","",IFERROR(VLOOKUP($B156,'Типы элементов'!$A$2:$J$15,5,FALSE),""))</f>
        <v/>
      </c>
      <c r="G156" s="9" t="str">
        <f>IF($B156="","",IFERROR(VLOOKUP($B156,'Типы элементов'!$A$2:$J$15,6,FALSE),""))</f>
        <v/>
      </c>
      <c r="H156" s="9" t="str">
        <f>IF($B156="","",IFERROR(VLOOKUP($B156,'Типы элементов'!$A$2:$J$15,7,FALSE),""))</f>
        <v/>
      </c>
      <c r="I156" s="9" t="str">
        <f>IF($B156="","",IFERROR(VLOOKUP($B156,'Типы элементов'!$A$2:$J$15,8,FALSE),""))</f>
        <v/>
      </c>
      <c r="J156" s="9" t="str">
        <f>IF($B156="","",IFERROR(VLOOKUP($B156,'Типы элементов'!$A$2:$J$15,9,FALSE),""))</f>
        <v/>
      </c>
      <c r="K156" s="10" t="str">
        <f>IF($B156="","",IFERROR(VLOOKUP($B156,'Типы элементов'!$A$2:$J$15,10,FALSE),""))</f>
        <v/>
      </c>
      <c r="L156" s="6"/>
      <c r="M156" s="6"/>
      <c r="N156" s="6"/>
      <c r="O156" s="6"/>
      <c r="P156" s="6"/>
    </row>
    <row r="157" spans="1:16">
      <c r="A157" s="6"/>
      <c r="B157" s="6"/>
      <c r="C157" s="9" t="str">
        <f>IF($B157="","",IFERROR(VLOOKUP($B157,'Типы элементов'!$A$2:$J$15,2,FALSE),""))</f>
        <v/>
      </c>
      <c r="D157" s="9" t="str">
        <f>IF($B157="","",IFERROR(VLOOKUP($B157,'Типы элементов'!$A$2:$J$15,3,FALSE),""))</f>
        <v/>
      </c>
      <c r="E157" s="9" t="str">
        <f>IF($B157="","",IFERROR(VLOOKUP($B157,'Типы элементов'!$A$2:$J$15,4,FALSE),""))</f>
        <v/>
      </c>
      <c r="F157" s="9" t="str">
        <f>IF($B157="","",IFERROR(VLOOKUP($B157,'Типы элементов'!$A$2:$J$15,5,FALSE),""))</f>
        <v/>
      </c>
      <c r="G157" s="9" t="str">
        <f>IF($B157="","",IFERROR(VLOOKUP($B157,'Типы элементов'!$A$2:$J$15,6,FALSE),""))</f>
        <v/>
      </c>
      <c r="H157" s="9" t="str">
        <f>IF($B157="","",IFERROR(VLOOKUP($B157,'Типы элементов'!$A$2:$J$15,7,FALSE),""))</f>
        <v/>
      </c>
      <c r="I157" s="9" t="str">
        <f>IF($B157="","",IFERROR(VLOOKUP($B157,'Типы элементов'!$A$2:$J$15,8,FALSE),""))</f>
        <v/>
      </c>
      <c r="J157" s="9" t="str">
        <f>IF($B157="","",IFERROR(VLOOKUP($B157,'Типы элементов'!$A$2:$J$15,9,FALSE),""))</f>
        <v/>
      </c>
      <c r="K157" s="10" t="str">
        <f>IF($B157="","",IFERROR(VLOOKUP($B157,'Типы элементов'!$A$2:$J$15,10,FALSE),""))</f>
        <v/>
      </c>
      <c r="L157" s="6"/>
      <c r="M157" s="6"/>
      <c r="N157" s="6"/>
      <c r="O157" s="6"/>
      <c r="P157" s="6"/>
    </row>
    <row r="158" spans="1:16">
      <c r="A158" s="6"/>
      <c r="B158" s="6"/>
      <c r="C158" s="9" t="str">
        <f>IF($B158="","",IFERROR(VLOOKUP($B158,'Типы элементов'!$A$2:$J$15,2,FALSE),""))</f>
        <v/>
      </c>
      <c r="D158" s="9" t="str">
        <f>IF($B158="","",IFERROR(VLOOKUP($B158,'Типы элементов'!$A$2:$J$15,3,FALSE),""))</f>
        <v/>
      </c>
      <c r="E158" s="9" t="str">
        <f>IF($B158="","",IFERROR(VLOOKUP($B158,'Типы элементов'!$A$2:$J$15,4,FALSE),""))</f>
        <v/>
      </c>
      <c r="F158" s="9" t="str">
        <f>IF($B158="","",IFERROR(VLOOKUP($B158,'Типы элементов'!$A$2:$J$15,5,FALSE),""))</f>
        <v/>
      </c>
      <c r="G158" s="9" t="str">
        <f>IF($B158="","",IFERROR(VLOOKUP($B158,'Типы элементов'!$A$2:$J$15,6,FALSE),""))</f>
        <v/>
      </c>
      <c r="H158" s="9" t="str">
        <f>IF($B158="","",IFERROR(VLOOKUP($B158,'Типы элементов'!$A$2:$J$15,7,FALSE),""))</f>
        <v/>
      </c>
      <c r="I158" s="9" t="str">
        <f>IF($B158="","",IFERROR(VLOOKUP($B158,'Типы элементов'!$A$2:$J$15,8,FALSE),""))</f>
        <v/>
      </c>
      <c r="J158" s="9" t="str">
        <f>IF($B158="","",IFERROR(VLOOKUP($B158,'Типы элементов'!$A$2:$J$15,9,FALSE),""))</f>
        <v/>
      </c>
      <c r="K158" s="10" t="str">
        <f>IF($B158="","",IFERROR(VLOOKUP($B158,'Типы элементов'!$A$2:$J$15,10,FALSE),""))</f>
        <v/>
      </c>
      <c r="L158" s="6"/>
      <c r="M158" s="6"/>
      <c r="N158" s="6"/>
      <c r="O158" s="6"/>
      <c r="P158" s="6"/>
    </row>
    <row r="159" spans="1:16">
      <c r="A159" s="6"/>
      <c r="B159" s="6"/>
      <c r="C159" s="9" t="str">
        <f>IF($B159="","",IFERROR(VLOOKUP($B159,'Типы элементов'!$A$2:$J$15,2,FALSE),""))</f>
        <v/>
      </c>
      <c r="D159" s="9" t="str">
        <f>IF($B159="","",IFERROR(VLOOKUP($B159,'Типы элементов'!$A$2:$J$15,3,FALSE),""))</f>
        <v/>
      </c>
      <c r="E159" s="9" t="str">
        <f>IF($B159="","",IFERROR(VLOOKUP($B159,'Типы элементов'!$A$2:$J$15,4,FALSE),""))</f>
        <v/>
      </c>
      <c r="F159" s="9" t="str">
        <f>IF($B159="","",IFERROR(VLOOKUP($B159,'Типы элементов'!$A$2:$J$15,5,FALSE),""))</f>
        <v/>
      </c>
      <c r="G159" s="9" t="str">
        <f>IF($B159="","",IFERROR(VLOOKUP($B159,'Типы элементов'!$A$2:$J$15,6,FALSE),""))</f>
        <v/>
      </c>
      <c r="H159" s="9" t="str">
        <f>IF($B159="","",IFERROR(VLOOKUP($B159,'Типы элементов'!$A$2:$J$15,7,FALSE),""))</f>
        <v/>
      </c>
      <c r="I159" s="9" t="str">
        <f>IF($B159="","",IFERROR(VLOOKUP($B159,'Типы элементов'!$A$2:$J$15,8,FALSE),""))</f>
        <v/>
      </c>
      <c r="J159" s="9" t="str">
        <f>IF($B159="","",IFERROR(VLOOKUP($B159,'Типы элементов'!$A$2:$J$15,9,FALSE),""))</f>
        <v/>
      </c>
      <c r="K159" s="10" t="str">
        <f>IF($B159="","",IFERROR(VLOOKUP($B159,'Типы элементов'!$A$2:$J$15,10,FALSE),""))</f>
        <v/>
      </c>
      <c r="L159" s="6"/>
      <c r="M159" s="6"/>
      <c r="N159" s="6"/>
      <c r="O159" s="6"/>
      <c r="P159" s="6"/>
    </row>
    <row r="160" spans="1:16">
      <c r="A160" s="6"/>
      <c r="B160" s="6"/>
      <c r="C160" s="9" t="str">
        <f>IF($B160="","",IFERROR(VLOOKUP($B160,'Типы элементов'!$A$2:$J$15,2,FALSE),""))</f>
        <v/>
      </c>
      <c r="D160" s="9" t="str">
        <f>IF($B160="","",IFERROR(VLOOKUP($B160,'Типы элементов'!$A$2:$J$15,3,FALSE),""))</f>
        <v/>
      </c>
      <c r="E160" s="9" t="str">
        <f>IF($B160="","",IFERROR(VLOOKUP($B160,'Типы элементов'!$A$2:$J$15,4,FALSE),""))</f>
        <v/>
      </c>
      <c r="F160" s="9" t="str">
        <f>IF($B160="","",IFERROR(VLOOKUP($B160,'Типы элементов'!$A$2:$J$15,5,FALSE),""))</f>
        <v/>
      </c>
      <c r="G160" s="9" t="str">
        <f>IF($B160="","",IFERROR(VLOOKUP($B160,'Типы элементов'!$A$2:$J$15,6,FALSE),""))</f>
        <v/>
      </c>
      <c r="H160" s="9" t="str">
        <f>IF($B160="","",IFERROR(VLOOKUP($B160,'Типы элементов'!$A$2:$J$15,7,FALSE),""))</f>
        <v/>
      </c>
      <c r="I160" s="9" t="str">
        <f>IF($B160="","",IFERROR(VLOOKUP($B160,'Типы элементов'!$A$2:$J$15,8,FALSE),""))</f>
        <v/>
      </c>
      <c r="J160" s="9" t="str">
        <f>IF($B160="","",IFERROR(VLOOKUP($B160,'Типы элементов'!$A$2:$J$15,9,FALSE),""))</f>
        <v/>
      </c>
      <c r="K160" s="10" t="str">
        <f>IF($B160="","",IFERROR(VLOOKUP($B160,'Типы элементов'!$A$2:$J$15,10,FALSE),""))</f>
        <v/>
      </c>
      <c r="L160" s="6"/>
      <c r="M160" s="6"/>
      <c r="N160" s="6"/>
      <c r="O160" s="6"/>
      <c r="P160" s="6"/>
    </row>
    <row r="161" spans="1:16">
      <c r="A161" s="6"/>
      <c r="B161" s="6"/>
      <c r="C161" s="9" t="str">
        <f>IF($B161="","",IFERROR(VLOOKUP($B161,'Типы элементов'!$A$2:$J$15,2,FALSE),""))</f>
        <v/>
      </c>
      <c r="D161" s="9" t="str">
        <f>IF($B161="","",IFERROR(VLOOKUP($B161,'Типы элементов'!$A$2:$J$15,3,FALSE),""))</f>
        <v/>
      </c>
      <c r="E161" s="9" t="str">
        <f>IF($B161="","",IFERROR(VLOOKUP($B161,'Типы элементов'!$A$2:$J$15,4,FALSE),""))</f>
        <v/>
      </c>
      <c r="F161" s="9" t="str">
        <f>IF($B161="","",IFERROR(VLOOKUP($B161,'Типы элементов'!$A$2:$J$15,5,FALSE),""))</f>
        <v/>
      </c>
      <c r="G161" s="9" t="str">
        <f>IF($B161="","",IFERROR(VLOOKUP($B161,'Типы элементов'!$A$2:$J$15,6,FALSE),""))</f>
        <v/>
      </c>
      <c r="H161" s="9" t="str">
        <f>IF($B161="","",IFERROR(VLOOKUP($B161,'Типы элементов'!$A$2:$J$15,7,FALSE),""))</f>
        <v/>
      </c>
      <c r="I161" s="9" t="str">
        <f>IF($B161="","",IFERROR(VLOOKUP($B161,'Типы элементов'!$A$2:$J$15,8,FALSE),""))</f>
        <v/>
      </c>
      <c r="J161" s="9" t="str">
        <f>IF($B161="","",IFERROR(VLOOKUP($B161,'Типы элементов'!$A$2:$J$15,9,FALSE),""))</f>
        <v/>
      </c>
      <c r="K161" s="10" t="str">
        <f>IF($B161="","",IFERROR(VLOOKUP($B161,'Типы элементов'!$A$2:$J$15,10,FALSE),""))</f>
        <v/>
      </c>
      <c r="L161" s="6"/>
      <c r="M161" s="6"/>
      <c r="N161" s="6"/>
      <c r="O161" s="6"/>
      <c r="P161" s="6"/>
    </row>
    <row r="162" spans="1:16">
      <c r="A162" s="6"/>
      <c r="B162" s="6"/>
      <c r="C162" s="9" t="str">
        <f>IF($B162="","",IFERROR(VLOOKUP($B162,'Типы элементов'!$A$2:$J$15,2,FALSE),""))</f>
        <v/>
      </c>
      <c r="D162" s="9" t="str">
        <f>IF($B162="","",IFERROR(VLOOKUP($B162,'Типы элементов'!$A$2:$J$15,3,FALSE),""))</f>
        <v/>
      </c>
      <c r="E162" s="9" t="str">
        <f>IF($B162="","",IFERROR(VLOOKUP($B162,'Типы элементов'!$A$2:$J$15,4,FALSE),""))</f>
        <v/>
      </c>
      <c r="F162" s="9" t="str">
        <f>IF($B162="","",IFERROR(VLOOKUP($B162,'Типы элементов'!$A$2:$J$15,5,FALSE),""))</f>
        <v/>
      </c>
      <c r="G162" s="9" t="str">
        <f>IF($B162="","",IFERROR(VLOOKUP($B162,'Типы элементов'!$A$2:$J$15,6,FALSE),""))</f>
        <v/>
      </c>
      <c r="H162" s="9" t="str">
        <f>IF($B162="","",IFERROR(VLOOKUP($B162,'Типы элементов'!$A$2:$J$15,7,FALSE),""))</f>
        <v/>
      </c>
      <c r="I162" s="9" t="str">
        <f>IF($B162="","",IFERROR(VLOOKUP($B162,'Типы элементов'!$A$2:$J$15,8,FALSE),""))</f>
        <v/>
      </c>
      <c r="J162" s="9" t="str">
        <f>IF($B162="","",IFERROR(VLOOKUP($B162,'Типы элементов'!$A$2:$J$15,9,FALSE),""))</f>
        <v/>
      </c>
      <c r="K162" s="10" t="str">
        <f>IF($B162="","",IFERROR(VLOOKUP($B162,'Типы элементов'!$A$2:$J$15,10,FALSE),""))</f>
        <v/>
      </c>
      <c r="L162" s="6"/>
      <c r="M162" s="6"/>
      <c r="N162" s="6"/>
      <c r="O162" s="6"/>
      <c r="P162" s="6"/>
    </row>
    <row r="163" spans="1:16">
      <c r="A163" s="6"/>
      <c r="B163" s="6"/>
      <c r="C163" s="9" t="str">
        <f>IF($B163="","",IFERROR(VLOOKUP($B163,'Типы элементов'!$A$2:$J$15,2,FALSE),""))</f>
        <v/>
      </c>
      <c r="D163" s="9" t="str">
        <f>IF($B163="","",IFERROR(VLOOKUP($B163,'Типы элементов'!$A$2:$J$15,3,FALSE),""))</f>
        <v/>
      </c>
      <c r="E163" s="9" t="str">
        <f>IF($B163="","",IFERROR(VLOOKUP($B163,'Типы элементов'!$A$2:$J$15,4,FALSE),""))</f>
        <v/>
      </c>
      <c r="F163" s="9" t="str">
        <f>IF($B163="","",IFERROR(VLOOKUP($B163,'Типы элементов'!$A$2:$J$15,5,FALSE),""))</f>
        <v/>
      </c>
      <c r="G163" s="9" t="str">
        <f>IF($B163="","",IFERROR(VLOOKUP($B163,'Типы элементов'!$A$2:$J$15,6,FALSE),""))</f>
        <v/>
      </c>
      <c r="H163" s="9" t="str">
        <f>IF($B163="","",IFERROR(VLOOKUP($B163,'Типы элементов'!$A$2:$J$15,7,FALSE),""))</f>
        <v/>
      </c>
      <c r="I163" s="9" t="str">
        <f>IF($B163="","",IFERROR(VLOOKUP($B163,'Типы элементов'!$A$2:$J$15,8,FALSE),""))</f>
        <v/>
      </c>
      <c r="J163" s="9" t="str">
        <f>IF($B163="","",IFERROR(VLOOKUP($B163,'Типы элементов'!$A$2:$J$15,9,FALSE),""))</f>
        <v/>
      </c>
      <c r="K163" s="10" t="str">
        <f>IF($B163="","",IFERROR(VLOOKUP($B163,'Типы элементов'!$A$2:$J$15,10,FALSE),""))</f>
        <v/>
      </c>
      <c r="L163" s="6"/>
      <c r="M163" s="6"/>
      <c r="N163" s="6"/>
      <c r="O163" s="6"/>
      <c r="P163" s="6"/>
    </row>
    <row r="164" spans="1:16">
      <c r="A164" s="6"/>
      <c r="B164" s="6"/>
      <c r="C164" s="9" t="str">
        <f>IF($B164="","",IFERROR(VLOOKUP($B164,'Типы элементов'!$A$2:$J$15,2,FALSE),""))</f>
        <v/>
      </c>
      <c r="D164" s="9" t="str">
        <f>IF($B164="","",IFERROR(VLOOKUP($B164,'Типы элементов'!$A$2:$J$15,3,FALSE),""))</f>
        <v/>
      </c>
      <c r="E164" s="9" t="str">
        <f>IF($B164="","",IFERROR(VLOOKUP($B164,'Типы элементов'!$A$2:$J$15,4,FALSE),""))</f>
        <v/>
      </c>
      <c r="F164" s="9" t="str">
        <f>IF($B164="","",IFERROR(VLOOKUP($B164,'Типы элементов'!$A$2:$J$15,5,FALSE),""))</f>
        <v/>
      </c>
      <c r="G164" s="9" t="str">
        <f>IF($B164="","",IFERROR(VLOOKUP($B164,'Типы элементов'!$A$2:$J$15,6,FALSE),""))</f>
        <v/>
      </c>
      <c r="H164" s="9" t="str">
        <f>IF($B164="","",IFERROR(VLOOKUP($B164,'Типы элементов'!$A$2:$J$15,7,FALSE),""))</f>
        <v/>
      </c>
      <c r="I164" s="9" t="str">
        <f>IF($B164="","",IFERROR(VLOOKUP($B164,'Типы элементов'!$A$2:$J$15,8,FALSE),""))</f>
        <v/>
      </c>
      <c r="J164" s="9" t="str">
        <f>IF($B164="","",IFERROR(VLOOKUP($B164,'Типы элементов'!$A$2:$J$15,9,FALSE),""))</f>
        <v/>
      </c>
      <c r="K164" s="10" t="str">
        <f>IF($B164="","",IFERROR(VLOOKUP($B164,'Типы элементов'!$A$2:$J$15,10,FALSE),""))</f>
        <v/>
      </c>
      <c r="L164" s="6"/>
      <c r="M164" s="6"/>
      <c r="N164" s="6"/>
      <c r="O164" s="6"/>
      <c r="P164" s="6"/>
    </row>
    <row r="165" spans="1:16">
      <c r="A165" s="6"/>
      <c r="B165" s="6"/>
      <c r="C165" s="9" t="str">
        <f>IF($B165="","",IFERROR(VLOOKUP($B165,'Типы элементов'!$A$2:$J$15,2,FALSE),""))</f>
        <v/>
      </c>
      <c r="D165" s="9" t="str">
        <f>IF($B165="","",IFERROR(VLOOKUP($B165,'Типы элементов'!$A$2:$J$15,3,FALSE),""))</f>
        <v/>
      </c>
      <c r="E165" s="9" t="str">
        <f>IF($B165="","",IFERROR(VLOOKUP($B165,'Типы элементов'!$A$2:$J$15,4,FALSE),""))</f>
        <v/>
      </c>
      <c r="F165" s="9" t="str">
        <f>IF($B165="","",IFERROR(VLOOKUP($B165,'Типы элементов'!$A$2:$J$15,5,FALSE),""))</f>
        <v/>
      </c>
      <c r="G165" s="9" t="str">
        <f>IF($B165="","",IFERROR(VLOOKUP($B165,'Типы элементов'!$A$2:$J$15,6,FALSE),""))</f>
        <v/>
      </c>
      <c r="H165" s="9" t="str">
        <f>IF($B165="","",IFERROR(VLOOKUP($B165,'Типы элементов'!$A$2:$J$15,7,FALSE),""))</f>
        <v/>
      </c>
      <c r="I165" s="9" t="str">
        <f>IF($B165="","",IFERROR(VLOOKUP($B165,'Типы элементов'!$A$2:$J$15,8,FALSE),""))</f>
        <v/>
      </c>
      <c r="J165" s="9" t="str">
        <f>IF($B165="","",IFERROR(VLOOKUP($B165,'Типы элементов'!$A$2:$J$15,9,FALSE),""))</f>
        <v/>
      </c>
      <c r="K165" s="10" t="str">
        <f>IF($B165="","",IFERROR(VLOOKUP($B165,'Типы элементов'!$A$2:$J$15,10,FALSE),""))</f>
        <v/>
      </c>
      <c r="L165" s="6"/>
      <c r="M165" s="6"/>
      <c r="N165" s="6"/>
      <c r="O165" s="6"/>
      <c r="P165" s="6"/>
    </row>
    <row r="166" spans="1:16">
      <c r="A166" s="6"/>
      <c r="B166" s="6"/>
      <c r="C166" s="9" t="str">
        <f>IF($B166="","",IFERROR(VLOOKUP($B166,'Типы элементов'!$A$2:$J$15,2,FALSE),""))</f>
        <v/>
      </c>
      <c r="D166" s="9" t="str">
        <f>IF($B166="","",IFERROR(VLOOKUP($B166,'Типы элементов'!$A$2:$J$15,3,FALSE),""))</f>
        <v/>
      </c>
      <c r="E166" s="9" t="str">
        <f>IF($B166="","",IFERROR(VLOOKUP($B166,'Типы элементов'!$A$2:$J$15,4,FALSE),""))</f>
        <v/>
      </c>
      <c r="F166" s="9" t="str">
        <f>IF($B166="","",IFERROR(VLOOKUP($B166,'Типы элементов'!$A$2:$J$15,5,FALSE),""))</f>
        <v/>
      </c>
      <c r="G166" s="9" t="str">
        <f>IF($B166="","",IFERROR(VLOOKUP($B166,'Типы элементов'!$A$2:$J$15,6,FALSE),""))</f>
        <v/>
      </c>
      <c r="H166" s="9" t="str">
        <f>IF($B166="","",IFERROR(VLOOKUP($B166,'Типы элементов'!$A$2:$J$15,7,FALSE),""))</f>
        <v/>
      </c>
      <c r="I166" s="9" t="str">
        <f>IF($B166="","",IFERROR(VLOOKUP($B166,'Типы элементов'!$A$2:$J$15,8,FALSE),""))</f>
        <v/>
      </c>
      <c r="J166" s="9" t="str">
        <f>IF($B166="","",IFERROR(VLOOKUP($B166,'Типы элементов'!$A$2:$J$15,9,FALSE),""))</f>
        <v/>
      </c>
      <c r="K166" s="10" t="str">
        <f>IF($B166="","",IFERROR(VLOOKUP($B166,'Типы элементов'!$A$2:$J$15,10,FALSE),""))</f>
        <v/>
      </c>
      <c r="L166" s="6"/>
      <c r="M166" s="6"/>
      <c r="N166" s="6"/>
      <c r="O166" s="6"/>
      <c r="P166" s="6"/>
    </row>
    <row r="167" spans="1:16">
      <c r="A167" s="6"/>
      <c r="B167" s="6"/>
      <c r="C167" s="9" t="str">
        <f>IF($B167="","",IFERROR(VLOOKUP($B167,'Типы элементов'!$A$2:$J$15,2,FALSE),""))</f>
        <v/>
      </c>
      <c r="D167" s="9" t="str">
        <f>IF($B167="","",IFERROR(VLOOKUP($B167,'Типы элементов'!$A$2:$J$15,3,FALSE),""))</f>
        <v/>
      </c>
      <c r="E167" s="9" t="str">
        <f>IF($B167="","",IFERROR(VLOOKUP($B167,'Типы элементов'!$A$2:$J$15,4,FALSE),""))</f>
        <v/>
      </c>
      <c r="F167" s="9" t="str">
        <f>IF($B167="","",IFERROR(VLOOKUP($B167,'Типы элементов'!$A$2:$J$15,5,FALSE),""))</f>
        <v/>
      </c>
      <c r="G167" s="9" t="str">
        <f>IF($B167="","",IFERROR(VLOOKUP($B167,'Типы элементов'!$A$2:$J$15,6,FALSE),""))</f>
        <v/>
      </c>
      <c r="H167" s="9" t="str">
        <f>IF($B167="","",IFERROR(VLOOKUP($B167,'Типы элементов'!$A$2:$J$15,7,FALSE),""))</f>
        <v/>
      </c>
      <c r="I167" s="9" t="str">
        <f>IF($B167="","",IFERROR(VLOOKUP($B167,'Типы элементов'!$A$2:$J$15,8,FALSE),""))</f>
        <v/>
      </c>
      <c r="J167" s="9" t="str">
        <f>IF($B167="","",IFERROR(VLOOKUP($B167,'Типы элементов'!$A$2:$J$15,9,FALSE),""))</f>
        <v/>
      </c>
      <c r="K167" s="10" t="str">
        <f>IF($B167="","",IFERROR(VLOOKUP($B167,'Типы элементов'!$A$2:$J$15,10,FALSE),""))</f>
        <v/>
      </c>
      <c r="L167" s="6"/>
      <c r="M167" s="6"/>
      <c r="N167" s="6"/>
      <c r="O167" s="6"/>
      <c r="P167" s="6"/>
    </row>
    <row r="168" spans="1:16">
      <c r="A168" s="6"/>
      <c r="B168" s="6"/>
      <c r="C168" s="9" t="str">
        <f>IF($B168="","",IFERROR(VLOOKUP($B168,'Типы элементов'!$A$2:$J$15,2,FALSE),""))</f>
        <v/>
      </c>
      <c r="D168" s="9" t="str">
        <f>IF($B168="","",IFERROR(VLOOKUP($B168,'Типы элементов'!$A$2:$J$15,3,FALSE),""))</f>
        <v/>
      </c>
      <c r="E168" s="9" t="str">
        <f>IF($B168="","",IFERROR(VLOOKUP($B168,'Типы элементов'!$A$2:$J$15,4,FALSE),""))</f>
        <v/>
      </c>
      <c r="F168" s="9" t="str">
        <f>IF($B168="","",IFERROR(VLOOKUP($B168,'Типы элементов'!$A$2:$J$15,5,FALSE),""))</f>
        <v/>
      </c>
      <c r="G168" s="9" t="str">
        <f>IF($B168="","",IFERROR(VLOOKUP($B168,'Типы элементов'!$A$2:$J$15,6,FALSE),""))</f>
        <v/>
      </c>
      <c r="H168" s="9" t="str">
        <f>IF($B168="","",IFERROR(VLOOKUP($B168,'Типы элементов'!$A$2:$J$15,7,FALSE),""))</f>
        <v/>
      </c>
      <c r="I168" s="9" t="str">
        <f>IF($B168="","",IFERROR(VLOOKUP($B168,'Типы элементов'!$A$2:$J$15,8,FALSE),""))</f>
        <v/>
      </c>
      <c r="J168" s="9" t="str">
        <f>IF($B168="","",IFERROR(VLOOKUP($B168,'Типы элементов'!$A$2:$J$15,9,FALSE),""))</f>
        <v/>
      </c>
      <c r="K168" s="10" t="str">
        <f>IF($B168="","",IFERROR(VLOOKUP($B168,'Типы элементов'!$A$2:$J$15,10,FALSE),""))</f>
        <v/>
      </c>
      <c r="L168" s="6"/>
      <c r="M168" s="6"/>
      <c r="N168" s="6"/>
      <c r="O168" s="6"/>
      <c r="P168" s="6"/>
    </row>
    <row r="169" spans="1:16">
      <c r="A169" s="6"/>
      <c r="B169" s="6"/>
      <c r="C169" s="9" t="str">
        <f>IF($B169="","",IFERROR(VLOOKUP($B169,'Типы элементов'!$A$2:$J$15,2,FALSE),""))</f>
        <v/>
      </c>
      <c r="D169" s="9" t="str">
        <f>IF($B169="","",IFERROR(VLOOKUP($B169,'Типы элементов'!$A$2:$J$15,3,FALSE),""))</f>
        <v/>
      </c>
      <c r="E169" s="9" t="str">
        <f>IF($B169="","",IFERROR(VLOOKUP($B169,'Типы элементов'!$A$2:$J$15,4,FALSE),""))</f>
        <v/>
      </c>
      <c r="F169" s="9" t="str">
        <f>IF($B169="","",IFERROR(VLOOKUP($B169,'Типы элементов'!$A$2:$J$15,5,FALSE),""))</f>
        <v/>
      </c>
      <c r="G169" s="9" t="str">
        <f>IF($B169="","",IFERROR(VLOOKUP($B169,'Типы элементов'!$A$2:$J$15,6,FALSE),""))</f>
        <v/>
      </c>
      <c r="H169" s="9" t="str">
        <f>IF($B169="","",IFERROR(VLOOKUP($B169,'Типы элементов'!$A$2:$J$15,7,FALSE),""))</f>
        <v/>
      </c>
      <c r="I169" s="9" t="str">
        <f>IF($B169="","",IFERROR(VLOOKUP($B169,'Типы элементов'!$A$2:$J$15,8,FALSE),""))</f>
        <v/>
      </c>
      <c r="J169" s="9" t="str">
        <f>IF($B169="","",IFERROR(VLOOKUP($B169,'Типы элементов'!$A$2:$J$15,9,FALSE),""))</f>
        <v/>
      </c>
      <c r="K169" s="10" t="str">
        <f>IF($B169="","",IFERROR(VLOOKUP($B169,'Типы элементов'!$A$2:$J$15,10,FALSE),""))</f>
        <v/>
      </c>
      <c r="L169" s="6"/>
      <c r="M169" s="6"/>
      <c r="N169" s="6"/>
      <c r="O169" s="6"/>
      <c r="P169" s="6"/>
    </row>
    <row r="170" spans="1:16">
      <c r="A170" s="6"/>
      <c r="B170" s="6"/>
      <c r="C170" s="9" t="str">
        <f>IF($B170="","",IFERROR(VLOOKUP($B170,'Типы элементов'!$A$2:$J$15,2,FALSE),""))</f>
        <v/>
      </c>
      <c r="D170" s="9" t="str">
        <f>IF($B170="","",IFERROR(VLOOKUP($B170,'Типы элементов'!$A$2:$J$15,3,FALSE),""))</f>
        <v/>
      </c>
      <c r="E170" s="9" t="str">
        <f>IF($B170="","",IFERROR(VLOOKUP($B170,'Типы элементов'!$A$2:$J$15,4,FALSE),""))</f>
        <v/>
      </c>
      <c r="F170" s="9" t="str">
        <f>IF($B170="","",IFERROR(VLOOKUP($B170,'Типы элементов'!$A$2:$J$15,5,FALSE),""))</f>
        <v/>
      </c>
      <c r="G170" s="9" t="str">
        <f>IF($B170="","",IFERROR(VLOOKUP($B170,'Типы элементов'!$A$2:$J$15,6,FALSE),""))</f>
        <v/>
      </c>
      <c r="H170" s="9" t="str">
        <f>IF($B170="","",IFERROR(VLOOKUP($B170,'Типы элементов'!$A$2:$J$15,7,FALSE),""))</f>
        <v/>
      </c>
      <c r="I170" s="9" t="str">
        <f>IF($B170="","",IFERROR(VLOOKUP($B170,'Типы элементов'!$A$2:$J$15,8,FALSE),""))</f>
        <v/>
      </c>
      <c r="J170" s="9" t="str">
        <f>IF($B170="","",IFERROR(VLOOKUP($B170,'Типы элементов'!$A$2:$J$15,9,FALSE),""))</f>
        <v/>
      </c>
      <c r="K170" s="10" t="str">
        <f>IF($B170="","",IFERROR(VLOOKUP($B170,'Типы элементов'!$A$2:$J$15,10,FALSE),""))</f>
        <v/>
      </c>
      <c r="L170" s="6"/>
      <c r="M170" s="6"/>
      <c r="N170" s="6"/>
      <c r="O170" s="6"/>
      <c r="P170" s="6"/>
    </row>
    <row r="171" spans="1:16">
      <c r="A171" s="6"/>
      <c r="B171" s="6"/>
      <c r="C171" s="9" t="str">
        <f>IF($B171="","",IFERROR(VLOOKUP($B171,'Типы элементов'!$A$2:$J$15,2,FALSE),""))</f>
        <v/>
      </c>
      <c r="D171" s="9" t="str">
        <f>IF($B171="","",IFERROR(VLOOKUP($B171,'Типы элементов'!$A$2:$J$15,3,FALSE),""))</f>
        <v/>
      </c>
      <c r="E171" s="9" t="str">
        <f>IF($B171="","",IFERROR(VLOOKUP($B171,'Типы элементов'!$A$2:$J$15,4,FALSE),""))</f>
        <v/>
      </c>
      <c r="F171" s="9" t="str">
        <f>IF($B171="","",IFERROR(VLOOKUP($B171,'Типы элементов'!$A$2:$J$15,5,FALSE),""))</f>
        <v/>
      </c>
      <c r="G171" s="9" t="str">
        <f>IF($B171="","",IFERROR(VLOOKUP($B171,'Типы элементов'!$A$2:$J$15,6,FALSE),""))</f>
        <v/>
      </c>
      <c r="H171" s="9" t="str">
        <f>IF($B171="","",IFERROR(VLOOKUP($B171,'Типы элементов'!$A$2:$J$15,7,FALSE),""))</f>
        <v/>
      </c>
      <c r="I171" s="9" t="str">
        <f>IF($B171="","",IFERROR(VLOOKUP($B171,'Типы элементов'!$A$2:$J$15,8,FALSE),""))</f>
        <v/>
      </c>
      <c r="J171" s="9" t="str">
        <f>IF($B171="","",IFERROR(VLOOKUP($B171,'Типы элементов'!$A$2:$J$15,9,FALSE),""))</f>
        <v/>
      </c>
      <c r="K171" s="10" t="str">
        <f>IF($B171="","",IFERROR(VLOOKUP($B171,'Типы элементов'!$A$2:$J$15,10,FALSE),""))</f>
        <v/>
      </c>
      <c r="L171" s="6"/>
      <c r="M171" s="6"/>
      <c r="N171" s="6"/>
      <c r="O171" s="6"/>
      <c r="P171" s="6"/>
    </row>
    <row r="172" spans="1:16">
      <c r="A172" s="6"/>
      <c r="B172" s="6"/>
      <c r="C172" s="9" t="str">
        <f>IF($B172="","",IFERROR(VLOOKUP($B172,'Типы элементов'!$A$2:$J$15,2,FALSE),""))</f>
        <v/>
      </c>
      <c r="D172" s="9" t="str">
        <f>IF($B172="","",IFERROR(VLOOKUP($B172,'Типы элементов'!$A$2:$J$15,3,FALSE),""))</f>
        <v/>
      </c>
      <c r="E172" s="9" t="str">
        <f>IF($B172="","",IFERROR(VLOOKUP($B172,'Типы элементов'!$A$2:$J$15,4,FALSE),""))</f>
        <v/>
      </c>
      <c r="F172" s="9" t="str">
        <f>IF($B172="","",IFERROR(VLOOKUP($B172,'Типы элементов'!$A$2:$J$15,5,FALSE),""))</f>
        <v/>
      </c>
      <c r="G172" s="9" t="str">
        <f>IF($B172="","",IFERROR(VLOOKUP($B172,'Типы элементов'!$A$2:$J$15,6,FALSE),""))</f>
        <v/>
      </c>
      <c r="H172" s="9" t="str">
        <f>IF($B172="","",IFERROR(VLOOKUP($B172,'Типы элементов'!$A$2:$J$15,7,FALSE),""))</f>
        <v/>
      </c>
      <c r="I172" s="9" t="str">
        <f>IF($B172="","",IFERROR(VLOOKUP($B172,'Типы элементов'!$A$2:$J$15,8,FALSE),""))</f>
        <v/>
      </c>
      <c r="J172" s="9" t="str">
        <f>IF($B172="","",IFERROR(VLOOKUP($B172,'Типы элементов'!$A$2:$J$15,9,FALSE),""))</f>
        <v/>
      </c>
      <c r="K172" s="10" t="str">
        <f>IF($B172="","",IFERROR(VLOOKUP($B172,'Типы элементов'!$A$2:$J$15,10,FALSE),""))</f>
        <v/>
      </c>
      <c r="L172" s="6"/>
      <c r="M172" s="6"/>
      <c r="N172" s="6"/>
      <c r="O172" s="6"/>
      <c r="P172" s="6"/>
    </row>
    <row r="173" spans="1:16">
      <c r="A173" s="6"/>
      <c r="B173" s="6"/>
      <c r="C173" s="9" t="str">
        <f>IF($B173="","",IFERROR(VLOOKUP($B173,'Типы элементов'!$A$2:$J$15,2,FALSE),""))</f>
        <v/>
      </c>
      <c r="D173" s="9" t="str">
        <f>IF($B173="","",IFERROR(VLOOKUP($B173,'Типы элементов'!$A$2:$J$15,3,FALSE),""))</f>
        <v/>
      </c>
      <c r="E173" s="9" t="str">
        <f>IF($B173="","",IFERROR(VLOOKUP($B173,'Типы элементов'!$A$2:$J$15,4,FALSE),""))</f>
        <v/>
      </c>
      <c r="F173" s="9" t="str">
        <f>IF($B173="","",IFERROR(VLOOKUP($B173,'Типы элементов'!$A$2:$J$15,5,FALSE),""))</f>
        <v/>
      </c>
      <c r="G173" s="9" t="str">
        <f>IF($B173="","",IFERROR(VLOOKUP($B173,'Типы элементов'!$A$2:$J$15,6,FALSE),""))</f>
        <v/>
      </c>
      <c r="H173" s="9" t="str">
        <f>IF($B173="","",IFERROR(VLOOKUP($B173,'Типы элементов'!$A$2:$J$15,7,FALSE),""))</f>
        <v/>
      </c>
      <c r="I173" s="9" t="str">
        <f>IF($B173="","",IFERROR(VLOOKUP($B173,'Типы элементов'!$A$2:$J$15,8,FALSE),""))</f>
        <v/>
      </c>
      <c r="J173" s="9" t="str">
        <f>IF($B173="","",IFERROR(VLOOKUP($B173,'Типы элементов'!$A$2:$J$15,9,FALSE),""))</f>
        <v/>
      </c>
      <c r="K173" s="10" t="str">
        <f>IF($B173="","",IFERROR(VLOOKUP($B173,'Типы элементов'!$A$2:$J$15,10,FALSE),""))</f>
        <v/>
      </c>
      <c r="L173" s="6"/>
      <c r="M173" s="6"/>
      <c r="N173" s="6"/>
      <c r="O173" s="6"/>
      <c r="P173" s="6"/>
    </row>
    <row r="174" spans="1:16">
      <c r="A174" s="6"/>
      <c r="B174" s="6"/>
      <c r="C174" s="9" t="str">
        <f>IF($B174="","",IFERROR(VLOOKUP($B174,'Типы элементов'!$A$2:$J$15,2,FALSE),""))</f>
        <v/>
      </c>
      <c r="D174" s="9" t="str">
        <f>IF($B174="","",IFERROR(VLOOKUP($B174,'Типы элементов'!$A$2:$J$15,3,FALSE),""))</f>
        <v/>
      </c>
      <c r="E174" s="9" t="str">
        <f>IF($B174="","",IFERROR(VLOOKUP($B174,'Типы элементов'!$A$2:$J$15,4,FALSE),""))</f>
        <v/>
      </c>
      <c r="F174" s="9" t="str">
        <f>IF($B174="","",IFERROR(VLOOKUP($B174,'Типы элементов'!$A$2:$J$15,5,FALSE),""))</f>
        <v/>
      </c>
      <c r="G174" s="9" t="str">
        <f>IF($B174="","",IFERROR(VLOOKUP($B174,'Типы элементов'!$A$2:$J$15,6,FALSE),""))</f>
        <v/>
      </c>
      <c r="H174" s="9" t="str">
        <f>IF($B174="","",IFERROR(VLOOKUP($B174,'Типы элементов'!$A$2:$J$15,7,FALSE),""))</f>
        <v/>
      </c>
      <c r="I174" s="9" t="str">
        <f>IF($B174="","",IFERROR(VLOOKUP($B174,'Типы элементов'!$A$2:$J$15,8,FALSE),""))</f>
        <v/>
      </c>
      <c r="J174" s="9" t="str">
        <f>IF($B174="","",IFERROR(VLOOKUP($B174,'Типы элементов'!$A$2:$J$15,9,FALSE),""))</f>
        <v/>
      </c>
      <c r="K174" s="10" t="str">
        <f>IF($B174="","",IFERROR(VLOOKUP($B174,'Типы элементов'!$A$2:$J$15,10,FALSE),""))</f>
        <v/>
      </c>
      <c r="L174" s="6"/>
      <c r="M174" s="6"/>
      <c r="N174" s="6"/>
      <c r="O174" s="6"/>
      <c r="P174" s="6"/>
    </row>
    <row r="175" spans="1:16">
      <c r="A175" s="6"/>
      <c r="B175" s="6"/>
      <c r="C175" s="9" t="str">
        <f>IF($B175="","",IFERROR(VLOOKUP($B175,'Типы элементов'!$A$2:$J$15,2,FALSE),""))</f>
        <v/>
      </c>
      <c r="D175" s="9" t="str">
        <f>IF($B175="","",IFERROR(VLOOKUP($B175,'Типы элементов'!$A$2:$J$15,3,FALSE),""))</f>
        <v/>
      </c>
      <c r="E175" s="9" t="str">
        <f>IF($B175="","",IFERROR(VLOOKUP($B175,'Типы элементов'!$A$2:$J$15,4,FALSE),""))</f>
        <v/>
      </c>
      <c r="F175" s="9" t="str">
        <f>IF($B175="","",IFERROR(VLOOKUP($B175,'Типы элементов'!$A$2:$J$15,5,FALSE),""))</f>
        <v/>
      </c>
      <c r="G175" s="9" t="str">
        <f>IF($B175="","",IFERROR(VLOOKUP($B175,'Типы элементов'!$A$2:$J$15,6,FALSE),""))</f>
        <v/>
      </c>
      <c r="H175" s="9" t="str">
        <f>IF($B175="","",IFERROR(VLOOKUP($B175,'Типы элементов'!$A$2:$J$15,7,FALSE),""))</f>
        <v/>
      </c>
      <c r="I175" s="9" t="str">
        <f>IF($B175="","",IFERROR(VLOOKUP($B175,'Типы элементов'!$A$2:$J$15,8,FALSE),""))</f>
        <v/>
      </c>
      <c r="J175" s="9" t="str">
        <f>IF($B175="","",IFERROR(VLOOKUP($B175,'Типы элементов'!$A$2:$J$15,9,FALSE),""))</f>
        <v/>
      </c>
      <c r="K175" s="10" t="str">
        <f>IF($B175="","",IFERROR(VLOOKUP($B175,'Типы элементов'!$A$2:$J$15,10,FALSE),""))</f>
        <v/>
      </c>
      <c r="L175" s="6"/>
      <c r="M175" s="6"/>
      <c r="N175" s="6"/>
      <c r="O175" s="6"/>
      <c r="P175" s="6"/>
    </row>
    <row r="176" spans="1:16">
      <c r="A176" s="6"/>
      <c r="B176" s="6"/>
      <c r="C176" s="9" t="str">
        <f>IF($B176="","",IFERROR(VLOOKUP($B176,'Типы элементов'!$A$2:$J$15,2,FALSE),""))</f>
        <v/>
      </c>
      <c r="D176" s="9" t="str">
        <f>IF($B176="","",IFERROR(VLOOKUP($B176,'Типы элементов'!$A$2:$J$15,3,FALSE),""))</f>
        <v/>
      </c>
      <c r="E176" s="9" t="str">
        <f>IF($B176="","",IFERROR(VLOOKUP($B176,'Типы элементов'!$A$2:$J$15,4,FALSE),""))</f>
        <v/>
      </c>
      <c r="F176" s="9" t="str">
        <f>IF($B176="","",IFERROR(VLOOKUP($B176,'Типы элементов'!$A$2:$J$15,5,FALSE),""))</f>
        <v/>
      </c>
      <c r="G176" s="9" t="str">
        <f>IF($B176="","",IFERROR(VLOOKUP($B176,'Типы элементов'!$A$2:$J$15,6,FALSE),""))</f>
        <v/>
      </c>
      <c r="H176" s="9" t="str">
        <f>IF($B176="","",IFERROR(VLOOKUP($B176,'Типы элементов'!$A$2:$J$15,7,FALSE),""))</f>
        <v/>
      </c>
      <c r="I176" s="9" t="str">
        <f>IF($B176="","",IFERROR(VLOOKUP($B176,'Типы элементов'!$A$2:$J$15,8,FALSE),""))</f>
        <v/>
      </c>
      <c r="J176" s="9" t="str">
        <f>IF($B176="","",IFERROR(VLOOKUP($B176,'Типы элементов'!$A$2:$J$15,9,FALSE),""))</f>
        <v/>
      </c>
      <c r="K176" s="10" t="str">
        <f>IF($B176="","",IFERROR(VLOOKUP($B176,'Типы элементов'!$A$2:$J$15,10,FALSE),""))</f>
        <v/>
      </c>
      <c r="L176" s="6"/>
      <c r="M176" s="6"/>
      <c r="N176" s="6"/>
      <c r="O176" s="6"/>
      <c r="P176" s="6"/>
    </row>
    <row r="177" spans="1:16">
      <c r="A177" s="6"/>
      <c r="B177" s="6"/>
      <c r="C177" s="9" t="str">
        <f>IF($B177="","",IFERROR(VLOOKUP($B177,'Типы элементов'!$A$2:$J$15,2,FALSE),""))</f>
        <v/>
      </c>
      <c r="D177" s="9" t="str">
        <f>IF($B177="","",IFERROR(VLOOKUP($B177,'Типы элементов'!$A$2:$J$15,3,FALSE),""))</f>
        <v/>
      </c>
      <c r="E177" s="9" t="str">
        <f>IF($B177="","",IFERROR(VLOOKUP($B177,'Типы элементов'!$A$2:$J$15,4,FALSE),""))</f>
        <v/>
      </c>
      <c r="F177" s="9" t="str">
        <f>IF($B177="","",IFERROR(VLOOKUP($B177,'Типы элементов'!$A$2:$J$15,5,FALSE),""))</f>
        <v/>
      </c>
      <c r="G177" s="9" t="str">
        <f>IF($B177="","",IFERROR(VLOOKUP($B177,'Типы элементов'!$A$2:$J$15,6,FALSE),""))</f>
        <v/>
      </c>
      <c r="H177" s="9" t="str">
        <f>IF($B177="","",IFERROR(VLOOKUP($B177,'Типы элементов'!$A$2:$J$15,7,FALSE),""))</f>
        <v/>
      </c>
      <c r="I177" s="9" t="str">
        <f>IF($B177="","",IFERROR(VLOOKUP($B177,'Типы элементов'!$A$2:$J$15,8,FALSE),""))</f>
        <v/>
      </c>
      <c r="J177" s="9" t="str">
        <f>IF($B177="","",IFERROR(VLOOKUP($B177,'Типы элементов'!$A$2:$J$15,9,FALSE),""))</f>
        <v/>
      </c>
      <c r="K177" s="10" t="str">
        <f>IF($B177="","",IFERROR(VLOOKUP($B177,'Типы элементов'!$A$2:$J$15,10,FALSE),""))</f>
        <v/>
      </c>
      <c r="L177" s="6"/>
      <c r="M177" s="6"/>
      <c r="N177" s="6"/>
      <c r="O177" s="6"/>
      <c r="P177" s="6"/>
    </row>
    <row r="178" spans="1:16">
      <c r="A178" s="6"/>
      <c r="B178" s="6"/>
      <c r="C178" s="9" t="str">
        <f>IF($B178="","",IFERROR(VLOOKUP($B178,'Типы элементов'!$A$2:$J$15,2,FALSE),""))</f>
        <v/>
      </c>
      <c r="D178" s="9" t="str">
        <f>IF($B178="","",IFERROR(VLOOKUP($B178,'Типы элементов'!$A$2:$J$15,3,FALSE),""))</f>
        <v/>
      </c>
      <c r="E178" s="9" t="str">
        <f>IF($B178="","",IFERROR(VLOOKUP($B178,'Типы элементов'!$A$2:$J$15,4,FALSE),""))</f>
        <v/>
      </c>
      <c r="F178" s="9" t="str">
        <f>IF($B178="","",IFERROR(VLOOKUP($B178,'Типы элементов'!$A$2:$J$15,5,FALSE),""))</f>
        <v/>
      </c>
      <c r="G178" s="9" t="str">
        <f>IF($B178="","",IFERROR(VLOOKUP($B178,'Типы элементов'!$A$2:$J$15,6,FALSE),""))</f>
        <v/>
      </c>
      <c r="H178" s="9" t="str">
        <f>IF($B178="","",IFERROR(VLOOKUP($B178,'Типы элементов'!$A$2:$J$15,7,FALSE),""))</f>
        <v/>
      </c>
      <c r="I178" s="9" t="str">
        <f>IF($B178="","",IFERROR(VLOOKUP($B178,'Типы элементов'!$A$2:$J$15,8,FALSE),""))</f>
        <v/>
      </c>
      <c r="J178" s="9" t="str">
        <f>IF($B178="","",IFERROR(VLOOKUP($B178,'Типы элементов'!$A$2:$J$15,9,FALSE),""))</f>
        <v/>
      </c>
      <c r="K178" s="10" t="str">
        <f>IF($B178="","",IFERROR(VLOOKUP($B178,'Типы элементов'!$A$2:$J$15,10,FALSE),""))</f>
        <v/>
      </c>
      <c r="L178" s="6"/>
      <c r="M178" s="6"/>
      <c r="N178" s="6"/>
      <c r="O178" s="6"/>
      <c r="P178" s="6"/>
    </row>
    <row r="179" spans="1:16">
      <c r="A179" s="6"/>
      <c r="B179" s="6"/>
      <c r="C179" s="9" t="str">
        <f>IF($B179="","",IFERROR(VLOOKUP($B179,'Типы элементов'!$A$2:$J$15,2,FALSE),""))</f>
        <v/>
      </c>
      <c r="D179" s="9" t="str">
        <f>IF($B179="","",IFERROR(VLOOKUP($B179,'Типы элементов'!$A$2:$J$15,3,FALSE),""))</f>
        <v/>
      </c>
      <c r="E179" s="9" t="str">
        <f>IF($B179="","",IFERROR(VLOOKUP($B179,'Типы элементов'!$A$2:$J$15,4,FALSE),""))</f>
        <v/>
      </c>
      <c r="F179" s="9" t="str">
        <f>IF($B179="","",IFERROR(VLOOKUP($B179,'Типы элементов'!$A$2:$J$15,5,FALSE),""))</f>
        <v/>
      </c>
      <c r="G179" s="9" t="str">
        <f>IF($B179="","",IFERROR(VLOOKUP($B179,'Типы элементов'!$A$2:$J$15,6,FALSE),""))</f>
        <v/>
      </c>
      <c r="H179" s="9" t="str">
        <f>IF($B179="","",IFERROR(VLOOKUP($B179,'Типы элементов'!$A$2:$J$15,7,FALSE),""))</f>
        <v/>
      </c>
      <c r="I179" s="9" t="str">
        <f>IF($B179="","",IFERROR(VLOOKUP($B179,'Типы элементов'!$A$2:$J$15,8,FALSE),""))</f>
        <v/>
      </c>
      <c r="J179" s="9" t="str">
        <f>IF($B179="","",IFERROR(VLOOKUP($B179,'Типы элементов'!$A$2:$J$15,9,FALSE),""))</f>
        <v/>
      </c>
      <c r="K179" s="10" t="str">
        <f>IF($B179="","",IFERROR(VLOOKUP($B179,'Типы элементов'!$A$2:$J$15,10,FALSE),""))</f>
        <v/>
      </c>
      <c r="L179" s="6"/>
      <c r="M179" s="6"/>
      <c r="N179" s="6"/>
      <c r="O179" s="6"/>
      <c r="P179" s="6"/>
    </row>
    <row r="180" spans="1:16">
      <c r="A180" s="6"/>
      <c r="B180" s="6"/>
      <c r="C180" s="9" t="str">
        <f>IF($B180="","",IFERROR(VLOOKUP($B180,'Типы элементов'!$A$2:$J$15,2,FALSE),""))</f>
        <v/>
      </c>
      <c r="D180" s="9" t="str">
        <f>IF($B180="","",IFERROR(VLOOKUP($B180,'Типы элементов'!$A$2:$J$15,3,FALSE),""))</f>
        <v/>
      </c>
      <c r="E180" s="9" t="str">
        <f>IF($B180="","",IFERROR(VLOOKUP($B180,'Типы элементов'!$A$2:$J$15,4,FALSE),""))</f>
        <v/>
      </c>
      <c r="F180" s="9" t="str">
        <f>IF($B180="","",IFERROR(VLOOKUP($B180,'Типы элементов'!$A$2:$J$15,5,FALSE),""))</f>
        <v/>
      </c>
      <c r="G180" s="9" t="str">
        <f>IF($B180="","",IFERROR(VLOOKUP($B180,'Типы элементов'!$A$2:$J$15,6,FALSE),""))</f>
        <v/>
      </c>
      <c r="H180" s="9" t="str">
        <f>IF($B180="","",IFERROR(VLOOKUP($B180,'Типы элементов'!$A$2:$J$15,7,FALSE),""))</f>
        <v/>
      </c>
      <c r="I180" s="9" t="str">
        <f>IF($B180="","",IFERROR(VLOOKUP($B180,'Типы элементов'!$A$2:$J$15,8,FALSE),""))</f>
        <v/>
      </c>
      <c r="J180" s="9" t="str">
        <f>IF($B180="","",IFERROR(VLOOKUP($B180,'Типы элементов'!$A$2:$J$15,9,FALSE),""))</f>
        <v/>
      </c>
      <c r="K180" s="10" t="str">
        <f>IF($B180="","",IFERROR(VLOOKUP($B180,'Типы элементов'!$A$2:$J$15,10,FALSE),""))</f>
        <v/>
      </c>
      <c r="L180" s="6"/>
      <c r="M180" s="6"/>
      <c r="N180" s="6"/>
      <c r="O180" s="6"/>
      <c r="P180" s="6"/>
    </row>
    <row r="181" spans="1:16">
      <c r="A181" s="6"/>
      <c r="B181" s="6"/>
      <c r="C181" s="9" t="str">
        <f>IF($B181="","",IFERROR(VLOOKUP($B181,'Типы элементов'!$A$2:$J$15,2,FALSE),""))</f>
        <v/>
      </c>
      <c r="D181" s="9" t="str">
        <f>IF($B181="","",IFERROR(VLOOKUP($B181,'Типы элементов'!$A$2:$J$15,3,FALSE),""))</f>
        <v/>
      </c>
      <c r="E181" s="9" t="str">
        <f>IF($B181="","",IFERROR(VLOOKUP($B181,'Типы элементов'!$A$2:$J$15,4,FALSE),""))</f>
        <v/>
      </c>
      <c r="F181" s="9" t="str">
        <f>IF($B181="","",IFERROR(VLOOKUP($B181,'Типы элементов'!$A$2:$J$15,5,FALSE),""))</f>
        <v/>
      </c>
      <c r="G181" s="9" t="str">
        <f>IF($B181="","",IFERROR(VLOOKUP($B181,'Типы элементов'!$A$2:$J$15,6,FALSE),""))</f>
        <v/>
      </c>
      <c r="H181" s="9" t="str">
        <f>IF($B181="","",IFERROR(VLOOKUP($B181,'Типы элементов'!$A$2:$J$15,7,FALSE),""))</f>
        <v/>
      </c>
      <c r="I181" s="9" t="str">
        <f>IF($B181="","",IFERROR(VLOOKUP($B181,'Типы элементов'!$A$2:$J$15,8,FALSE),""))</f>
        <v/>
      </c>
      <c r="J181" s="9" t="str">
        <f>IF($B181="","",IFERROR(VLOOKUP($B181,'Типы элементов'!$A$2:$J$15,9,FALSE),""))</f>
        <v/>
      </c>
      <c r="K181" s="10" t="str">
        <f>IF($B181="","",IFERROR(VLOOKUP($B181,'Типы элементов'!$A$2:$J$15,10,FALSE),""))</f>
        <v/>
      </c>
      <c r="L181" s="6"/>
      <c r="M181" s="6"/>
      <c r="N181" s="6"/>
      <c r="O181" s="6"/>
      <c r="P181" s="6"/>
    </row>
    <row r="182" spans="1:16">
      <c r="A182" s="6"/>
      <c r="B182" s="6"/>
      <c r="C182" s="9" t="str">
        <f>IF($B182="","",IFERROR(VLOOKUP($B182,'Типы элементов'!$A$2:$J$15,2,FALSE),""))</f>
        <v/>
      </c>
      <c r="D182" s="9" t="str">
        <f>IF($B182="","",IFERROR(VLOOKUP($B182,'Типы элементов'!$A$2:$J$15,3,FALSE),""))</f>
        <v/>
      </c>
      <c r="E182" s="9" t="str">
        <f>IF($B182="","",IFERROR(VLOOKUP($B182,'Типы элементов'!$A$2:$J$15,4,FALSE),""))</f>
        <v/>
      </c>
      <c r="F182" s="9" t="str">
        <f>IF($B182="","",IFERROR(VLOOKUP($B182,'Типы элементов'!$A$2:$J$15,5,FALSE),""))</f>
        <v/>
      </c>
      <c r="G182" s="9" t="str">
        <f>IF($B182="","",IFERROR(VLOOKUP($B182,'Типы элементов'!$A$2:$J$15,6,FALSE),""))</f>
        <v/>
      </c>
      <c r="H182" s="9" t="str">
        <f>IF($B182="","",IFERROR(VLOOKUP($B182,'Типы элементов'!$A$2:$J$15,7,FALSE),""))</f>
        <v/>
      </c>
      <c r="I182" s="9" t="str">
        <f>IF($B182="","",IFERROR(VLOOKUP($B182,'Типы элементов'!$A$2:$J$15,8,FALSE),""))</f>
        <v/>
      </c>
      <c r="J182" s="9" t="str">
        <f>IF($B182="","",IFERROR(VLOOKUP($B182,'Типы элементов'!$A$2:$J$15,9,FALSE),""))</f>
        <v/>
      </c>
      <c r="K182" s="10" t="str">
        <f>IF($B182="","",IFERROR(VLOOKUP($B182,'Типы элементов'!$A$2:$J$15,10,FALSE),""))</f>
        <v/>
      </c>
      <c r="L182" s="6"/>
      <c r="M182" s="6"/>
      <c r="N182" s="6"/>
      <c r="O182" s="6"/>
      <c r="P182" s="6"/>
    </row>
    <row r="183" spans="1:16">
      <c r="A183" s="6"/>
      <c r="B183" s="6"/>
      <c r="C183" s="9" t="str">
        <f>IF($B183="","",IFERROR(VLOOKUP($B183,'Типы элементов'!$A$2:$J$15,2,FALSE),""))</f>
        <v/>
      </c>
      <c r="D183" s="9" t="str">
        <f>IF($B183="","",IFERROR(VLOOKUP($B183,'Типы элементов'!$A$2:$J$15,3,FALSE),""))</f>
        <v/>
      </c>
      <c r="E183" s="9" t="str">
        <f>IF($B183="","",IFERROR(VLOOKUP($B183,'Типы элементов'!$A$2:$J$15,4,FALSE),""))</f>
        <v/>
      </c>
      <c r="F183" s="9" t="str">
        <f>IF($B183="","",IFERROR(VLOOKUP($B183,'Типы элементов'!$A$2:$J$15,5,FALSE),""))</f>
        <v/>
      </c>
      <c r="G183" s="9" t="str">
        <f>IF($B183="","",IFERROR(VLOOKUP($B183,'Типы элементов'!$A$2:$J$15,6,FALSE),""))</f>
        <v/>
      </c>
      <c r="H183" s="9" t="str">
        <f>IF($B183="","",IFERROR(VLOOKUP($B183,'Типы элементов'!$A$2:$J$15,7,FALSE),""))</f>
        <v/>
      </c>
      <c r="I183" s="9" t="str">
        <f>IF($B183="","",IFERROR(VLOOKUP($B183,'Типы элементов'!$A$2:$J$15,8,FALSE),""))</f>
        <v/>
      </c>
      <c r="J183" s="9" t="str">
        <f>IF($B183="","",IFERROR(VLOOKUP($B183,'Типы элементов'!$A$2:$J$15,9,FALSE),""))</f>
        <v/>
      </c>
      <c r="K183" s="10" t="str">
        <f>IF($B183="","",IFERROR(VLOOKUP($B183,'Типы элементов'!$A$2:$J$15,10,FALSE),""))</f>
        <v/>
      </c>
      <c r="L183" s="6"/>
      <c r="M183" s="6"/>
      <c r="N183" s="6"/>
      <c r="O183" s="6"/>
      <c r="P183" s="6"/>
    </row>
    <row r="184" spans="1:16">
      <c r="A184" s="6"/>
      <c r="B184" s="6"/>
      <c r="C184" s="9" t="str">
        <f>IF($B184="","",IFERROR(VLOOKUP($B184,'Типы элементов'!$A$2:$J$15,2,FALSE),""))</f>
        <v/>
      </c>
      <c r="D184" s="9" t="str">
        <f>IF($B184="","",IFERROR(VLOOKUP($B184,'Типы элементов'!$A$2:$J$15,3,FALSE),""))</f>
        <v/>
      </c>
      <c r="E184" s="9" t="str">
        <f>IF($B184="","",IFERROR(VLOOKUP($B184,'Типы элементов'!$A$2:$J$15,4,FALSE),""))</f>
        <v/>
      </c>
      <c r="F184" s="9" t="str">
        <f>IF($B184="","",IFERROR(VLOOKUP($B184,'Типы элементов'!$A$2:$J$15,5,FALSE),""))</f>
        <v/>
      </c>
      <c r="G184" s="9" t="str">
        <f>IF($B184="","",IFERROR(VLOOKUP($B184,'Типы элементов'!$A$2:$J$15,6,FALSE),""))</f>
        <v/>
      </c>
      <c r="H184" s="9" t="str">
        <f>IF($B184="","",IFERROR(VLOOKUP($B184,'Типы элементов'!$A$2:$J$15,7,FALSE),""))</f>
        <v/>
      </c>
      <c r="I184" s="9" t="str">
        <f>IF($B184="","",IFERROR(VLOOKUP($B184,'Типы элементов'!$A$2:$J$15,8,FALSE),""))</f>
        <v/>
      </c>
      <c r="J184" s="9" t="str">
        <f>IF($B184="","",IFERROR(VLOOKUP($B184,'Типы элементов'!$A$2:$J$15,9,FALSE),""))</f>
        <v/>
      </c>
      <c r="K184" s="10" t="str">
        <f>IF($B184="","",IFERROR(VLOOKUP($B184,'Типы элементов'!$A$2:$J$15,10,FALSE),""))</f>
        <v/>
      </c>
      <c r="L184" s="6"/>
      <c r="M184" s="6"/>
      <c r="N184" s="6"/>
      <c r="O184" s="6"/>
      <c r="P184" s="6"/>
    </row>
    <row r="185" spans="1:16">
      <c r="A185" s="6"/>
      <c r="B185" s="6"/>
      <c r="C185" s="9" t="str">
        <f>IF($B185="","",IFERROR(VLOOKUP($B185,'Типы элементов'!$A$2:$J$15,2,FALSE),""))</f>
        <v/>
      </c>
      <c r="D185" s="9" t="str">
        <f>IF($B185="","",IFERROR(VLOOKUP($B185,'Типы элементов'!$A$2:$J$15,3,FALSE),""))</f>
        <v/>
      </c>
      <c r="E185" s="9" t="str">
        <f>IF($B185="","",IFERROR(VLOOKUP($B185,'Типы элементов'!$A$2:$J$15,4,FALSE),""))</f>
        <v/>
      </c>
      <c r="F185" s="9" t="str">
        <f>IF($B185="","",IFERROR(VLOOKUP($B185,'Типы элементов'!$A$2:$J$15,5,FALSE),""))</f>
        <v/>
      </c>
      <c r="G185" s="9" t="str">
        <f>IF($B185="","",IFERROR(VLOOKUP($B185,'Типы элементов'!$A$2:$J$15,6,FALSE),""))</f>
        <v/>
      </c>
      <c r="H185" s="9" t="str">
        <f>IF($B185="","",IFERROR(VLOOKUP($B185,'Типы элементов'!$A$2:$J$15,7,FALSE),""))</f>
        <v/>
      </c>
      <c r="I185" s="9" t="str">
        <f>IF($B185="","",IFERROR(VLOOKUP($B185,'Типы элементов'!$A$2:$J$15,8,FALSE),""))</f>
        <v/>
      </c>
      <c r="J185" s="9" t="str">
        <f>IF($B185="","",IFERROR(VLOOKUP($B185,'Типы элементов'!$A$2:$J$15,9,FALSE),""))</f>
        <v/>
      </c>
      <c r="K185" s="10" t="str">
        <f>IF($B185="","",IFERROR(VLOOKUP($B185,'Типы элементов'!$A$2:$J$15,10,FALSE),""))</f>
        <v/>
      </c>
      <c r="L185" s="6"/>
      <c r="M185" s="6"/>
      <c r="N185" s="6"/>
      <c r="O185" s="6"/>
      <c r="P185" s="6"/>
    </row>
    <row r="186" spans="1:16">
      <c r="A186" s="6"/>
      <c r="B186" s="6"/>
      <c r="C186" s="9" t="str">
        <f>IF($B186="","",IFERROR(VLOOKUP($B186,'Типы элементов'!$A$2:$J$15,2,FALSE),""))</f>
        <v/>
      </c>
      <c r="D186" s="9" t="str">
        <f>IF($B186="","",IFERROR(VLOOKUP($B186,'Типы элементов'!$A$2:$J$15,3,FALSE),""))</f>
        <v/>
      </c>
      <c r="E186" s="9" t="str">
        <f>IF($B186="","",IFERROR(VLOOKUP($B186,'Типы элементов'!$A$2:$J$15,4,FALSE),""))</f>
        <v/>
      </c>
      <c r="F186" s="9" t="str">
        <f>IF($B186="","",IFERROR(VLOOKUP($B186,'Типы элементов'!$A$2:$J$15,5,FALSE),""))</f>
        <v/>
      </c>
      <c r="G186" s="9" t="str">
        <f>IF($B186="","",IFERROR(VLOOKUP($B186,'Типы элементов'!$A$2:$J$15,6,FALSE),""))</f>
        <v/>
      </c>
      <c r="H186" s="9" t="str">
        <f>IF($B186="","",IFERROR(VLOOKUP($B186,'Типы элементов'!$A$2:$J$15,7,FALSE),""))</f>
        <v/>
      </c>
      <c r="I186" s="9" t="str">
        <f>IF($B186="","",IFERROR(VLOOKUP($B186,'Типы элементов'!$A$2:$J$15,8,FALSE),""))</f>
        <v/>
      </c>
      <c r="J186" s="9" t="str">
        <f>IF($B186="","",IFERROR(VLOOKUP($B186,'Типы элементов'!$A$2:$J$15,9,FALSE),""))</f>
        <v/>
      </c>
      <c r="K186" s="10" t="str">
        <f>IF($B186="","",IFERROR(VLOOKUP($B186,'Типы элементов'!$A$2:$J$15,10,FALSE),""))</f>
        <v/>
      </c>
      <c r="L186" s="6"/>
      <c r="M186" s="6"/>
      <c r="N186" s="6"/>
      <c r="O186" s="6"/>
      <c r="P186" s="6"/>
    </row>
    <row r="187" spans="1:16">
      <c r="A187" s="6"/>
      <c r="B187" s="6"/>
      <c r="C187" s="9" t="str">
        <f>IF($B187="","",IFERROR(VLOOKUP($B187,'Типы элементов'!$A$2:$J$15,2,FALSE),""))</f>
        <v/>
      </c>
      <c r="D187" s="9" t="str">
        <f>IF($B187="","",IFERROR(VLOOKUP($B187,'Типы элементов'!$A$2:$J$15,3,FALSE),""))</f>
        <v/>
      </c>
      <c r="E187" s="9" t="str">
        <f>IF($B187="","",IFERROR(VLOOKUP($B187,'Типы элементов'!$A$2:$J$15,4,FALSE),""))</f>
        <v/>
      </c>
      <c r="F187" s="9" t="str">
        <f>IF($B187="","",IFERROR(VLOOKUP($B187,'Типы элементов'!$A$2:$J$15,5,FALSE),""))</f>
        <v/>
      </c>
      <c r="G187" s="9" t="str">
        <f>IF($B187="","",IFERROR(VLOOKUP($B187,'Типы элементов'!$A$2:$J$15,6,FALSE),""))</f>
        <v/>
      </c>
      <c r="H187" s="9" t="str">
        <f>IF($B187="","",IFERROR(VLOOKUP($B187,'Типы элементов'!$A$2:$J$15,7,FALSE),""))</f>
        <v/>
      </c>
      <c r="I187" s="9" t="str">
        <f>IF($B187="","",IFERROR(VLOOKUP($B187,'Типы элементов'!$A$2:$J$15,8,FALSE),""))</f>
        <v/>
      </c>
      <c r="J187" s="9" t="str">
        <f>IF($B187="","",IFERROR(VLOOKUP($B187,'Типы элементов'!$A$2:$J$15,9,FALSE),""))</f>
        <v/>
      </c>
      <c r="K187" s="10" t="str">
        <f>IF($B187="","",IFERROR(VLOOKUP($B187,'Типы элементов'!$A$2:$J$15,10,FALSE),""))</f>
        <v/>
      </c>
      <c r="L187" s="6"/>
      <c r="M187" s="6"/>
      <c r="N187" s="6"/>
      <c r="O187" s="6"/>
      <c r="P187" s="6"/>
    </row>
    <row r="188" spans="1:16">
      <c r="A188" s="6"/>
      <c r="B188" s="6"/>
      <c r="C188" s="9" t="str">
        <f>IF($B188="","",IFERROR(VLOOKUP($B188,'Типы элементов'!$A$2:$J$15,2,FALSE),""))</f>
        <v/>
      </c>
      <c r="D188" s="9" t="str">
        <f>IF($B188="","",IFERROR(VLOOKUP($B188,'Типы элементов'!$A$2:$J$15,3,FALSE),""))</f>
        <v/>
      </c>
      <c r="E188" s="9" t="str">
        <f>IF($B188="","",IFERROR(VLOOKUP($B188,'Типы элементов'!$A$2:$J$15,4,FALSE),""))</f>
        <v/>
      </c>
      <c r="F188" s="9" t="str">
        <f>IF($B188="","",IFERROR(VLOOKUP($B188,'Типы элементов'!$A$2:$J$15,5,FALSE),""))</f>
        <v/>
      </c>
      <c r="G188" s="9" t="str">
        <f>IF($B188="","",IFERROR(VLOOKUP($B188,'Типы элементов'!$A$2:$J$15,6,FALSE),""))</f>
        <v/>
      </c>
      <c r="H188" s="9" t="str">
        <f>IF($B188="","",IFERROR(VLOOKUP($B188,'Типы элементов'!$A$2:$J$15,7,FALSE),""))</f>
        <v/>
      </c>
      <c r="I188" s="9" t="str">
        <f>IF($B188="","",IFERROR(VLOOKUP($B188,'Типы элементов'!$A$2:$J$15,8,FALSE),""))</f>
        <v/>
      </c>
      <c r="J188" s="9" t="str">
        <f>IF($B188="","",IFERROR(VLOOKUP($B188,'Типы элементов'!$A$2:$J$15,9,FALSE),""))</f>
        <v/>
      </c>
      <c r="K188" s="10" t="str">
        <f>IF($B188="","",IFERROR(VLOOKUP($B188,'Типы элементов'!$A$2:$J$15,10,FALSE),""))</f>
        <v/>
      </c>
      <c r="L188" s="6"/>
      <c r="M188" s="6"/>
      <c r="N188" s="6"/>
      <c r="O188" s="6"/>
      <c r="P188" s="6"/>
    </row>
    <row r="189" spans="1:16">
      <c r="A189" s="6"/>
      <c r="B189" s="6"/>
      <c r="C189" s="9" t="str">
        <f>IF($B189="","",IFERROR(VLOOKUP($B189,'Типы элементов'!$A$2:$J$15,2,FALSE),""))</f>
        <v/>
      </c>
      <c r="D189" s="9" t="str">
        <f>IF($B189="","",IFERROR(VLOOKUP($B189,'Типы элементов'!$A$2:$J$15,3,FALSE),""))</f>
        <v/>
      </c>
      <c r="E189" s="9" t="str">
        <f>IF($B189="","",IFERROR(VLOOKUP($B189,'Типы элементов'!$A$2:$J$15,4,FALSE),""))</f>
        <v/>
      </c>
      <c r="F189" s="9" t="str">
        <f>IF($B189="","",IFERROR(VLOOKUP($B189,'Типы элементов'!$A$2:$J$15,5,FALSE),""))</f>
        <v/>
      </c>
      <c r="G189" s="9" t="str">
        <f>IF($B189="","",IFERROR(VLOOKUP($B189,'Типы элементов'!$A$2:$J$15,6,FALSE),""))</f>
        <v/>
      </c>
      <c r="H189" s="9" t="str">
        <f>IF($B189="","",IFERROR(VLOOKUP($B189,'Типы элементов'!$A$2:$J$15,7,FALSE),""))</f>
        <v/>
      </c>
      <c r="I189" s="9" t="str">
        <f>IF($B189="","",IFERROR(VLOOKUP($B189,'Типы элементов'!$A$2:$J$15,8,FALSE),""))</f>
        <v/>
      </c>
      <c r="J189" s="9" t="str">
        <f>IF($B189="","",IFERROR(VLOOKUP($B189,'Типы элементов'!$A$2:$J$15,9,FALSE),""))</f>
        <v/>
      </c>
      <c r="K189" s="10" t="str">
        <f>IF($B189="","",IFERROR(VLOOKUP($B189,'Типы элементов'!$A$2:$J$15,10,FALSE),""))</f>
        <v/>
      </c>
      <c r="L189" s="6"/>
      <c r="M189" s="6"/>
      <c r="N189" s="6"/>
      <c r="O189" s="6"/>
      <c r="P189" s="6"/>
    </row>
    <row r="190" spans="1:16">
      <c r="A190" s="6"/>
      <c r="B190" s="6"/>
      <c r="C190" s="11" t="str">
        <f>IF($B190="","",IFERROR(VLOOKUP($B190,'Типы элементов'!$A$2:$J$15,2,FALSE),""))</f>
        <v/>
      </c>
      <c r="D190" s="11" t="str">
        <f>IF($B190="","",IFERROR(VLOOKUP($B190,'Типы элементов'!$A$2:$J$15,3,FALSE),""))</f>
        <v/>
      </c>
      <c r="E190" s="11" t="str">
        <f>IF($B190="","",IFERROR(VLOOKUP($B190,'Типы элементов'!$A$2:$J$15,4,FALSE),""))</f>
        <v/>
      </c>
      <c r="F190" s="11" t="str">
        <f>IF($B190="","",IFERROR(VLOOKUP($B190,'Типы элементов'!$A$2:$J$15,5,FALSE),""))</f>
        <v/>
      </c>
      <c r="G190" s="11" t="str">
        <f>IF($B190="","",IFERROR(VLOOKUP($B190,'Типы элементов'!$A$2:$J$15,6,FALSE),""))</f>
        <v/>
      </c>
      <c r="H190" s="11" t="str">
        <f>IF($B190="","",IFERROR(VLOOKUP($B190,'Типы элементов'!$A$2:$J$15,7,FALSE),""))</f>
        <v/>
      </c>
      <c r="I190" s="11" t="str">
        <f>IF($B190="","",IFERROR(VLOOKUP($B190,'Типы элементов'!$A$2:$J$15,8,FALSE),""))</f>
        <v/>
      </c>
      <c r="J190" s="11" t="str">
        <f>IF($B190="","",IFERROR(VLOOKUP($B190,'Типы элементов'!$A$2:$J$15,9,FALSE),""))</f>
        <v/>
      </c>
      <c r="K190" s="12" t="str">
        <f>IF($B190="","",IFERROR(VLOOKUP($B190,'Типы элементов'!$A$2:$J$15,10,FALSE),""))</f>
        <v/>
      </c>
      <c r="L190" s="6"/>
      <c r="M190" s="6"/>
      <c r="N190" s="6"/>
      <c r="O190" s="6"/>
      <c r="P190" s="6"/>
    </row>
  </sheetData>
  <conditionalFormatting sqref="A2:P101">
    <cfRule type="expression" dxfId="20" priority="1">
      <formula>ISNUMBER(SEARCH("text",$B2))</formula>
    </cfRule>
    <cfRule type="expression" dxfId="19" priority="2">
      <formula>ISNUMBER(SEARCH("title",$B2))</formula>
    </cfRule>
    <cfRule type="expression" dxfId="18" priority="3">
      <formula>ISNUMBER(SEARCH("hero",$B2))</formula>
    </cfRule>
    <cfRule type="expression" dxfId="17" priority="4">
      <formula>ISNUMBER(SEARCH("card",$B2))</formula>
    </cfRule>
    <cfRule type="expression" dxfId="16" priority="5">
      <formula>ISNUMBER(SEARCH("carousel",$B2))</formula>
    </cfRule>
    <cfRule type="expression" dxfId="15" priority="6">
      <formula>ISNUMBER(SEARCH("video",$B2))</formula>
    </cfRule>
    <cfRule type="expression" dxfId="14" priority="7">
      <formula>ISNUMBER(SEARCH("image",$B2))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xr:uid="{4671AA28-57EB-4E4A-AAEE-FAE3DC5600E6}">
          <x14:formula1>
            <xm:f>_helper!$A$1:$A$15</xm:f>
          </x14:formula1>
          <xm:sqref>B2:B101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4A1A2-EC66-4BA0-A04C-6E4C8FFE73E6}">
  <dimension ref="A1:P165"/>
  <sheetViews>
    <sheetView workbookViewId="0">
      <pane ySplit="1" topLeftCell="A2" activePane="bottomLeft" state="frozen"/>
      <selection pane="bottomLeft" activeCell="B8" sqref="B8"/>
    </sheetView>
  </sheetViews>
  <sheetFormatPr defaultRowHeight="14.25"/>
  <cols>
    <col min="1" max="1" width="3.875" style="6" bestFit="1" customWidth="1"/>
    <col min="2" max="8" width="24" style="6" customWidth="1"/>
    <col min="9" max="10" width="40" style="6" customWidth="1"/>
    <col min="11" max="16" width="24" style="6" customWidth="1"/>
    <col min="17" max="16384" width="9" style="6"/>
  </cols>
  <sheetData>
    <row r="1" spans="1:16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/>
    </row>
    <row r="2" spans="1:16">
      <c r="A2" s="6">
        <v>1</v>
      </c>
      <c r="B2" s="6" t="s">
        <v>15</v>
      </c>
      <c r="C2" s="6">
        <v>0</v>
      </c>
      <c r="D2" s="6">
        <v>0</v>
      </c>
      <c r="E2" s="6" t="s">
        <v>15</v>
      </c>
      <c r="F2" s="6" t="s">
        <v>15</v>
      </c>
      <c r="G2" s="6">
        <v>0</v>
      </c>
      <c r="H2" s="6">
        <v>0</v>
      </c>
      <c r="I2" s="6" t="s">
        <v>17</v>
      </c>
      <c r="J2" s="6" t="s">
        <v>18</v>
      </c>
      <c r="K2" s="6">
        <v>0</v>
      </c>
    </row>
    <row r="3" spans="1:16">
      <c r="A3" s="6">
        <v>2</v>
      </c>
      <c r="B3" s="6" t="s">
        <v>21</v>
      </c>
      <c r="C3" s="6" t="s">
        <v>79</v>
      </c>
      <c r="D3" s="6" t="s">
        <v>80</v>
      </c>
      <c r="E3" s="6">
        <v>0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s="6">
        <v>0</v>
      </c>
    </row>
    <row r="4" spans="1:16">
      <c r="A4" s="6">
        <v>3</v>
      </c>
      <c r="B4" s="6" t="s">
        <v>24</v>
      </c>
      <c r="C4" s="6" t="s">
        <v>86</v>
      </c>
      <c r="D4" s="6" t="s">
        <v>87</v>
      </c>
      <c r="E4" s="6">
        <v>0</v>
      </c>
      <c r="F4" s="6">
        <v>0</v>
      </c>
      <c r="G4" s="6">
        <v>0</v>
      </c>
      <c r="H4" s="6">
        <v>0</v>
      </c>
      <c r="I4" s="6">
        <v>0</v>
      </c>
      <c r="J4" s="6">
        <v>0</v>
      </c>
      <c r="K4" s="6">
        <v>0</v>
      </c>
    </row>
    <row r="5" spans="1:16">
      <c r="A5" s="6">
        <v>4</v>
      </c>
      <c r="B5" s="6" t="s">
        <v>65</v>
      </c>
    </row>
    <row r="6" spans="1:16">
      <c r="A6" s="6">
        <v>5</v>
      </c>
      <c r="B6" s="6" t="s">
        <v>30</v>
      </c>
      <c r="C6" s="6" t="s">
        <v>123</v>
      </c>
      <c r="D6" s="6" t="s">
        <v>123</v>
      </c>
      <c r="E6" s="6" t="s">
        <v>88</v>
      </c>
      <c r="F6" s="6" t="s">
        <v>88</v>
      </c>
      <c r="K6" s="6" t="s">
        <v>123</v>
      </c>
      <c r="L6" s="6">
        <v>600</v>
      </c>
      <c r="M6" s="6">
        <v>600</v>
      </c>
      <c r="N6" s="6">
        <v>1</v>
      </c>
    </row>
    <row r="7" spans="1:16">
      <c r="A7" s="6">
        <v>6</v>
      </c>
      <c r="B7" s="6" t="s">
        <v>27</v>
      </c>
      <c r="C7" s="6" t="s">
        <v>89</v>
      </c>
      <c r="D7" s="6" t="s">
        <v>89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</row>
    <row r="8" spans="1:16">
      <c r="A8" s="6">
        <v>7</v>
      </c>
      <c r="B8" s="6" t="s">
        <v>24</v>
      </c>
      <c r="C8" s="6" t="s">
        <v>90</v>
      </c>
      <c r="D8" s="6" t="s">
        <v>90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</row>
    <row r="9" spans="1:16">
      <c r="A9" s="6">
        <v>8</v>
      </c>
      <c r="B9" s="6" t="s">
        <v>68</v>
      </c>
      <c r="C9" s="6" t="s">
        <v>91</v>
      </c>
      <c r="D9" s="6" t="s">
        <v>91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</row>
    <row r="10" spans="1:16">
      <c r="A10" s="6">
        <v>9</v>
      </c>
      <c r="B10" s="6" t="s">
        <v>68</v>
      </c>
      <c r="C10" s="6" t="s">
        <v>92</v>
      </c>
      <c r="D10" s="6" t="s">
        <v>92</v>
      </c>
      <c r="E10" s="6">
        <v>0</v>
      </c>
      <c r="F10" s="6">
        <v>0</v>
      </c>
      <c r="G10" s="6">
        <v>0</v>
      </c>
      <c r="H10" s="6">
        <v>0</v>
      </c>
      <c r="I10" s="6" t="s">
        <v>69</v>
      </c>
      <c r="J10" s="6" t="s">
        <v>70</v>
      </c>
      <c r="K10" s="6">
        <v>0</v>
      </c>
    </row>
    <row r="11" spans="1:16">
      <c r="A11" s="6">
        <v>10</v>
      </c>
      <c r="B11" s="6" t="s">
        <v>68</v>
      </c>
      <c r="C11" s="6" t="s">
        <v>93</v>
      </c>
      <c r="D11" s="6" t="s">
        <v>93</v>
      </c>
      <c r="E11" s="6">
        <v>0</v>
      </c>
      <c r="F11" s="6">
        <v>0</v>
      </c>
      <c r="G11" s="6">
        <v>0</v>
      </c>
      <c r="H11" s="6">
        <v>0</v>
      </c>
      <c r="I11" s="6" t="s">
        <v>69</v>
      </c>
      <c r="J11" s="6" t="s">
        <v>70</v>
      </c>
      <c r="K11" s="6">
        <v>0</v>
      </c>
    </row>
    <row r="12" spans="1:16">
      <c r="A12" s="6">
        <v>11</v>
      </c>
      <c r="B12" s="6" t="s">
        <v>68</v>
      </c>
      <c r="C12" s="6" t="s">
        <v>94</v>
      </c>
      <c r="D12" s="6" t="s">
        <v>94</v>
      </c>
      <c r="E12" s="6">
        <v>0</v>
      </c>
      <c r="F12" s="6">
        <v>0</v>
      </c>
      <c r="G12" s="6">
        <v>0</v>
      </c>
      <c r="H12" s="6">
        <v>0</v>
      </c>
      <c r="I12" s="6" t="s">
        <v>69</v>
      </c>
      <c r="J12" s="6" t="s">
        <v>70</v>
      </c>
      <c r="K12" s="6">
        <v>0</v>
      </c>
    </row>
    <row r="13" spans="1:16">
      <c r="A13" s="6">
        <v>12</v>
      </c>
      <c r="B13" s="6" t="s">
        <v>68</v>
      </c>
      <c r="C13" s="6" t="s">
        <v>95</v>
      </c>
      <c r="D13" s="6" t="s">
        <v>95</v>
      </c>
      <c r="E13" s="6">
        <v>0</v>
      </c>
      <c r="F13" s="6">
        <v>0</v>
      </c>
      <c r="G13" s="6">
        <v>0</v>
      </c>
      <c r="H13" s="6">
        <v>0</v>
      </c>
      <c r="I13" s="6" t="s">
        <v>69</v>
      </c>
      <c r="J13" s="6" t="s">
        <v>70</v>
      </c>
      <c r="K13" s="6">
        <v>0</v>
      </c>
    </row>
    <row r="14" spans="1:16">
      <c r="A14" s="6">
        <v>13</v>
      </c>
      <c r="B14" s="6" t="s">
        <v>27</v>
      </c>
      <c r="C14" s="6" t="s">
        <v>96</v>
      </c>
      <c r="D14" s="6" t="s">
        <v>96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</row>
    <row r="15" spans="1:16">
      <c r="A15" s="6">
        <v>14</v>
      </c>
      <c r="B15" s="6" t="s">
        <v>24</v>
      </c>
      <c r="C15" s="6" t="s">
        <v>97</v>
      </c>
      <c r="D15" s="6" t="s">
        <v>97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</row>
    <row r="16" spans="1:16">
      <c r="A16" s="6">
        <v>15</v>
      </c>
      <c r="B16" s="6" t="s">
        <v>27</v>
      </c>
      <c r="C16" s="6" t="s">
        <v>98</v>
      </c>
      <c r="D16" s="6" t="s">
        <v>98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</row>
    <row r="17" spans="1:11">
      <c r="A17" s="6">
        <v>16</v>
      </c>
      <c r="B17" s="6" t="s">
        <v>68</v>
      </c>
      <c r="C17" s="6" t="s">
        <v>99</v>
      </c>
      <c r="D17" s="6" t="s">
        <v>99</v>
      </c>
      <c r="E17" s="6">
        <v>0</v>
      </c>
      <c r="F17" s="6">
        <v>0</v>
      </c>
      <c r="G17" s="6">
        <v>0</v>
      </c>
      <c r="H17" s="6">
        <v>0</v>
      </c>
      <c r="I17" s="6" t="s">
        <v>69</v>
      </c>
      <c r="J17" s="6" t="s">
        <v>70</v>
      </c>
      <c r="K17" s="6">
        <v>0</v>
      </c>
    </row>
    <row r="18" spans="1:11">
      <c r="A18" s="6">
        <v>17</v>
      </c>
      <c r="B18" s="6" t="s">
        <v>68</v>
      </c>
      <c r="C18" s="6" t="s">
        <v>100</v>
      </c>
      <c r="D18" s="6" t="s">
        <v>100</v>
      </c>
      <c r="E18" s="6">
        <v>0</v>
      </c>
      <c r="F18" s="6">
        <v>0</v>
      </c>
      <c r="G18" s="6">
        <v>0</v>
      </c>
      <c r="H18" s="6">
        <v>0</v>
      </c>
      <c r="I18" s="6" t="s">
        <v>69</v>
      </c>
      <c r="J18" s="6" t="s">
        <v>70</v>
      </c>
      <c r="K18" s="6">
        <v>0</v>
      </c>
    </row>
    <row r="19" spans="1:11">
      <c r="A19" s="6">
        <v>18</v>
      </c>
      <c r="B19" s="6" t="s">
        <v>27</v>
      </c>
      <c r="C19" s="6" t="s">
        <v>101</v>
      </c>
      <c r="D19" s="6" t="s">
        <v>101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</row>
    <row r="20" spans="1:11">
      <c r="A20" s="6">
        <v>19</v>
      </c>
      <c r="B20" s="6" t="s">
        <v>68</v>
      </c>
      <c r="C20" s="6" t="s">
        <v>102</v>
      </c>
      <c r="D20" s="6" t="s">
        <v>102</v>
      </c>
      <c r="E20" s="6">
        <v>0</v>
      </c>
      <c r="F20" s="6">
        <v>0</v>
      </c>
      <c r="G20" s="6">
        <v>0</v>
      </c>
      <c r="H20" s="6">
        <v>0</v>
      </c>
      <c r="I20" s="6" t="s">
        <v>69</v>
      </c>
      <c r="J20" s="6" t="s">
        <v>70</v>
      </c>
      <c r="K20" s="6">
        <v>0</v>
      </c>
    </row>
    <row r="21" spans="1:11">
      <c r="A21" s="6">
        <v>20</v>
      </c>
      <c r="B21" s="6" t="s">
        <v>68</v>
      </c>
      <c r="C21" s="6" t="s">
        <v>103</v>
      </c>
      <c r="D21" s="6" t="s">
        <v>103</v>
      </c>
      <c r="E21" s="6">
        <v>0</v>
      </c>
      <c r="F21" s="6">
        <v>0</v>
      </c>
      <c r="G21" s="6">
        <v>0</v>
      </c>
      <c r="H21" s="6">
        <v>0</v>
      </c>
      <c r="I21" s="6" t="s">
        <v>69</v>
      </c>
      <c r="J21" s="6" t="s">
        <v>70</v>
      </c>
      <c r="K21" s="6">
        <v>0</v>
      </c>
    </row>
    <row r="22" spans="1:11">
      <c r="A22" s="6">
        <v>21</v>
      </c>
      <c r="B22" s="6" t="s">
        <v>68</v>
      </c>
      <c r="C22" s="6" t="s">
        <v>104</v>
      </c>
      <c r="D22" s="6" t="s">
        <v>104</v>
      </c>
      <c r="E22" s="6">
        <v>0</v>
      </c>
      <c r="F22" s="6">
        <v>0</v>
      </c>
      <c r="G22" s="6">
        <v>0</v>
      </c>
      <c r="H22" s="6">
        <v>0</v>
      </c>
      <c r="I22" s="6" t="s">
        <v>69</v>
      </c>
      <c r="J22" s="6" t="s">
        <v>70</v>
      </c>
      <c r="K22" s="6">
        <v>0</v>
      </c>
    </row>
    <row r="23" spans="1:11">
      <c r="A23" s="6">
        <v>22</v>
      </c>
      <c r="B23" s="6" t="s">
        <v>68</v>
      </c>
      <c r="C23" s="6" t="s">
        <v>105</v>
      </c>
      <c r="D23" s="6" t="s">
        <v>105</v>
      </c>
      <c r="E23" s="6">
        <v>0</v>
      </c>
      <c r="F23" s="6">
        <v>0</v>
      </c>
      <c r="G23" s="6">
        <v>0</v>
      </c>
      <c r="H23" s="6">
        <v>0</v>
      </c>
      <c r="I23" s="6" t="s">
        <v>69</v>
      </c>
      <c r="J23" s="6" t="s">
        <v>70</v>
      </c>
      <c r="K23" s="6">
        <v>0</v>
      </c>
    </row>
    <row r="24" spans="1:11">
      <c r="A24" s="6">
        <v>23</v>
      </c>
      <c r="B24" s="6" t="s">
        <v>68</v>
      </c>
      <c r="C24" s="6" t="s">
        <v>106</v>
      </c>
      <c r="D24" s="6" t="s">
        <v>106</v>
      </c>
      <c r="E24" s="6">
        <v>0</v>
      </c>
      <c r="F24" s="6">
        <v>0</v>
      </c>
      <c r="G24" s="6">
        <v>0</v>
      </c>
      <c r="H24" s="6">
        <v>0</v>
      </c>
      <c r="I24" s="6" t="s">
        <v>69</v>
      </c>
      <c r="J24" s="6" t="s">
        <v>70</v>
      </c>
      <c r="K24" s="6">
        <v>0</v>
      </c>
    </row>
    <row r="25" spans="1:11">
      <c r="A25" s="6">
        <v>24</v>
      </c>
      <c r="B25" s="6" t="s">
        <v>68</v>
      </c>
      <c r="C25" s="6" t="s">
        <v>107</v>
      </c>
      <c r="D25" s="6" t="s">
        <v>107</v>
      </c>
      <c r="E25" s="6">
        <v>0</v>
      </c>
      <c r="F25" s="6">
        <v>0</v>
      </c>
      <c r="G25" s="6">
        <v>0</v>
      </c>
      <c r="H25" s="6">
        <v>0</v>
      </c>
      <c r="I25" s="6" t="s">
        <v>69</v>
      </c>
      <c r="J25" s="6" t="s">
        <v>70</v>
      </c>
      <c r="K25" s="6">
        <v>0</v>
      </c>
    </row>
    <row r="26" spans="1:11">
      <c r="A26" s="6">
        <v>25</v>
      </c>
      <c r="B26" s="6" t="s">
        <v>27</v>
      </c>
      <c r="C26" s="6" t="s">
        <v>108</v>
      </c>
      <c r="D26" s="6" t="s">
        <v>108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6">
        <v>0</v>
      </c>
    </row>
    <row r="27" spans="1:11">
      <c r="A27" s="6">
        <v>26</v>
      </c>
      <c r="B27" s="6" t="s">
        <v>68</v>
      </c>
      <c r="C27" s="6" t="s">
        <v>109</v>
      </c>
      <c r="D27" s="6" t="s">
        <v>109</v>
      </c>
      <c r="E27" s="6">
        <v>0</v>
      </c>
      <c r="F27" s="6">
        <v>0</v>
      </c>
      <c r="G27" s="6">
        <v>0</v>
      </c>
      <c r="H27" s="6">
        <v>0</v>
      </c>
      <c r="I27" s="6" t="s">
        <v>69</v>
      </c>
      <c r="J27" s="6" t="s">
        <v>70</v>
      </c>
      <c r="K27" s="6">
        <v>0</v>
      </c>
    </row>
    <row r="28" spans="1:11">
      <c r="A28" s="6">
        <v>27</v>
      </c>
      <c r="B28" s="6" t="s">
        <v>68</v>
      </c>
      <c r="C28" s="6" t="s">
        <v>110</v>
      </c>
      <c r="D28" s="6" t="s">
        <v>110</v>
      </c>
      <c r="E28" s="6">
        <v>0</v>
      </c>
      <c r="F28" s="6">
        <v>0</v>
      </c>
      <c r="G28" s="6">
        <v>0</v>
      </c>
      <c r="H28" s="6">
        <v>0</v>
      </c>
      <c r="I28" s="6" t="s">
        <v>69</v>
      </c>
      <c r="J28" s="6" t="s">
        <v>70</v>
      </c>
      <c r="K28" s="6">
        <v>0</v>
      </c>
    </row>
    <row r="29" spans="1:11">
      <c r="A29" s="6">
        <v>28</v>
      </c>
      <c r="B29" s="6" t="s">
        <v>68</v>
      </c>
      <c r="C29" s="6" t="s">
        <v>111</v>
      </c>
      <c r="D29" s="6" t="s">
        <v>111</v>
      </c>
      <c r="E29" s="6">
        <v>0</v>
      </c>
      <c r="F29" s="6">
        <v>0</v>
      </c>
      <c r="G29" s="6">
        <v>0</v>
      </c>
      <c r="H29" s="6">
        <v>0</v>
      </c>
      <c r="I29" s="6" t="s">
        <v>69</v>
      </c>
      <c r="J29" s="6" t="s">
        <v>70</v>
      </c>
      <c r="K29" s="6">
        <v>0</v>
      </c>
    </row>
    <row r="30" spans="1:11">
      <c r="A30" s="6">
        <v>29</v>
      </c>
      <c r="B30" s="6" t="s">
        <v>24</v>
      </c>
      <c r="C30" s="6" t="s">
        <v>112</v>
      </c>
      <c r="D30" s="6" t="s">
        <v>112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</row>
    <row r="31" spans="1:11">
      <c r="A31" s="6">
        <v>30</v>
      </c>
      <c r="B31" s="6" t="s">
        <v>27</v>
      </c>
      <c r="C31" s="6" t="s">
        <v>113</v>
      </c>
      <c r="D31" s="6" t="s">
        <v>113</v>
      </c>
      <c r="E31" s="6">
        <v>0</v>
      </c>
      <c r="F31" s="6">
        <v>0</v>
      </c>
      <c r="G31" s="6">
        <v>0</v>
      </c>
      <c r="H31" s="6">
        <v>0</v>
      </c>
      <c r="I31" s="6">
        <v>0</v>
      </c>
      <c r="J31" s="6">
        <v>0</v>
      </c>
      <c r="K31" s="6">
        <v>0</v>
      </c>
    </row>
    <row r="32" spans="1:11">
      <c r="A32" s="6">
        <v>31</v>
      </c>
      <c r="B32" s="6" t="s">
        <v>68</v>
      </c>
      <c r="C32" s="6" t="s">
        <v>114</v>
      </c>
      <c r="D32" s="6" t="s">
        <v>114</v>
      </c>
      <c r="E32" s="6">
        <v>0</v>
      </c>
      <c r="F32" s="6">
        <v>0</v>
      </c>
      <c r="G32" s="6">
        <v>0</v>
      </c>
      <c r="H32" s="6">
        <v>0</v>
      </c>
      <c r="I32" s="6" t="s">
        <v>69</v>
      </c>
      <c r="J32" s="6" t="s">
        <v>70</v>
      </c>
      <c r="K32" s="6">
        <v>0</v>
      </c>
    </row>
    <row r="33" spans="1:11">
      <c r="A33" s="6">
        <v>32</v>
      </c>
      <c r="B33" s="6" t="s">
        <v>68</v>
      </c>
      <c r="C33" s="6" t="s">
        <v>115</v>
      </c>
      <c r="D33" s="6" t="s">
        <v>115</v>
      </c>
      <c r="E33" s="6">
        <v>0</v>
      </c>
      <c r="F33" s="6">
        <v>0</v>
      </c>
      <c r="G33" s="6">
        <v>0</v>
      </c>
      <c r="H33" s="6">
        <v>0</v>
      </c>
      <c r="I33" s="6" t="s">
        <v>69</v>
      </c>
      <c r="J33" s="6" t="s">
        <v>70</v>
      </c>
      <c r="K33" s="6">
        <v>0</v>
      </c>
    </row>
    <row r="34" spans="1:11">
      <c r="A34" s="6">
        <v>33</v>
      </c>
      <c r="B34" s="6" t="s">
        <v>68</v>
      </c>
      <c r="C34" s="6" t="s">
        <v>116</v>
      </c>
      <c r="D34" s="6" t="s">
        <v>116</v>
      </c>
      <c r="E34" s="6">
        <v>0</v>
      </c>
      <c r="F34" s="6">
        <v>0</v>
      </c>
      <c r="G34" s="6">
        <v>0</v>
      </c>
      <c r="H34" s="6">
        <v>0</v>
      </c>
      <c r="I34" s="6" t="s">
        <v>69</v>
      </c>
      <c r="J34" s="6" t="s">
        <v>70</v>
      </c>
      <c r="K34" s="6">
        <v>0</v>
      </c>
    </row>
    <row r="35" spans="1:11">
      <c r="A35" s="6">
        <v>34</v>
      </c>
      <c r="B35" s="6" t="s">
        <v>27</v>
      </c>
      <c r="C35" s="6" t="s">
        <v>117</v>
      </c>
      <c r="D35" s="6" t="s">
        <v>117</v>
      </c>
      <c r="E35" s="6">
        <v>0</v>
      </c>
      <c r="F35" s="6">
        <v>0</v>
      </c>
      <c r="G35" s="6">
        <v>0</v>
      </c>
      <c r="H35" s="6">
        <v>0</v>
      </c>
      <c r="I35" s="6">
        <v>0</v>
      </c>
      <c r="J35" s="6">
        <v>0</v>
      </c>
      <c r="K35" s="6">
        <v>0</v>
      </c>
    </row>
    <row r="36" spans="1:11">
      <c r="A36" s="6">
        <v>35</v>
      </c>
      <c r="B36" s="6" t="s">
        <v>68</v>
      </c>
      <c r="C36" s="6" t="s">
        <v>118</v>
      </c>
      <c r="D36" s="6" t="s">
        <v>118</v>
      </c>
      <c r="E36" s="6">
        <v>0</v>
      </c>
      <c r="F36" s="6">
        <v>0</v>
      </c>
      <c r="G36" s="6">
        <v>0</v>
      </c>
      <c r="H36" s="6">
        <v>0</v>
      </c>
      <c r="I36" s="6" t="s">
        <v>69</v>
      </c>
      <c r="J36" s="6" t="s">
        <v>70</v>
      </c>
      <c r="K36" s="6">
        <v>0</v>
      </c>
    </row>
    <row r="37" spans="1:11">
      <c r="A37" s="6">
        <v>36</v>
      </c>
      <c r="B37" s="6" t="s">
        <v>68</v>
      </c>
      <c r="C37" s="6" t="s">
        <v>119</v>
      </c>
      <c r="D37" s="6" t="s">
        <v>119</v>
      </c>
      <c r="E37" s="6">
        <v>0</v>
      </c>
      <c r="F37" s="6">
        <v>0</v>
      </c>
      <c r="G37" s="6">
        <v>0</v>
      </c>
      <c r="H37" s="6">
        <v>0</v>
      </c>
      <c r="I37" s="6" t="s">
        <v>69</v>
      </c>
      <c r="J37" s="6" t="s">
        <v>70</v>
      </c>
      <c r="K37" s="6">
        <v>0</v>
      </c>
    </row>
    <row r="38" spans="1:11">
      <c r="A38" s="6">
        <v>37</v>
      </c>
      <c r="B38" s="6" t="s">
        <v>68</v>
      </c>
      <c r="C38" s="6" t="s">
        <v>120</v>
      </c>
      <c r="D38" s="6" t="s">
        <v>120</v>
      </c>
      <c r="E38" s="6">
        <v>0</v>
      </c>
      <c r="F38" s="6">
        <v>0</v>
      </c>
      <c r="G38" s="6">
        <v>0</v>
      </c>
      <c r="H38" s="6">
        <v>0</v>
      </c>
      <c r="I38" s="6" t="s">
        <v>69</v>
      </c>
      <c r="J38" s="6" t="s">
        <v>70</v>
      </c>
      <c r="K38" s="6">
        <v>0</v>
      </c>
    </row>
    <row r="39" spans="1:11">
      <c r="A39" s="6">
        <v>38</v>
      </c>
      <c r="B39" s="6" t="s">
        <v>27</v>
      </c>
      <c r="C39" s="6" t="s">
        <v>108</v>
      </c>
      <c r="D39" s="6" t="s">
        <v>108</v>
      </c>
      <c r="E39" s="6">
        <v>0</v>
      </c>
      <c r="F39" s="6">
        <v>0</v>
      </c>
      <c r="G39" s="6">
        <v>0</v>
      </c>
      <c r="H39" s="6">
        <v>0</v>
      </c>
      <c r="I39" s="6">
        <v>0</v>
      </c>
      <c r="J39" s="6">
        <v>0</v>
      </c>
      <c r="K39" s="6">
        <v>0</v>
      </c>
    </row>
    <row r="40" spans="1:11">
      <c r="A40" s="6">
        <v>39</v>
      </c>
      <c r="B40" s="6" t="s">
        <v>68</v>
      </c>
      <c r="C40" s="6" t="s">
        <v>121</v>
      </c>
      <c r="D40" s="6" t="s">
        <v>121</v>
      </c>
      <c r="E40" s="6">
        <v>0</v>
      </c>
      <c r="F40" s="6">
        <v>0</v>
      </c>
      <c r="G40" s="6">
        <v>0</v>
      </c>
      <c r="H40" s="6">
        <v>0</v>
      </c>
      <c r="I40" s="6" t="s">
        <v>69</v>
      </c>
      <c r="J40" s="6" t="s">
        <v>70</v>
      </c>
      <c r="K40" s="6">
        <v>0</v>
      </c>
    </row>
    <row r="41" spans="1:11">
      <c r="A41" s="6">
        <v>40</v>
      </c>
      <c r="B41" s="6" t="s">
        <v>68</v>
      </c>
      <c r="C41" s="6" t="s">
        <v>122</v>
      </c>
      <c r="D41" s="6" t="s">
        <v>122</v>
      </c>
      <c r="E41" s="6">
        <v>0</v>
      </c>
      <c r="F41" s="6">
        <v>0</v>
      </c>
      <c r="G41" s="6">
        <v>0</v>
      </c>
      <c r="H41" s="6">
        <v>0</v>
      </c>
      <c r="I41" s="6" t="s">
        <v>69</v>
      </c>
      <c r="J41" s="6" t="s">
        <v>70</v>
      </c>
      <c r="K41" s="6">
        <v>0</v>
      </c>
    </row>
    <row r="42" spans="1:11">
      <c r="A42" s="6">
        <v>42</v>
      </c>
      <c r="C42" s="6" t="s">
        <v>123</v>
      </c>
      <c r="D42" s="6" t="s">
        <v>123</v>
      </c>
      <c r="E42" s="6" t="s">
        <v>123</v>
      </c>
      <c r="F42" s="6" t="s">
        <v>123</v>
      </c>
      <c r="G42" s="6" t="s">
        <v>123</v>
      </c>
      <c r="H42" s="6" t="s">
        <v>123</v>
      </c>
      <c r="I42" s="6" t="s">
        <v>123</v>
      </c>
      <c r="J42" s="6" t="s">
        <v>123</v>
      </c>
      <c r="K42" s="6" t="s">
        <v>123</v>
      </c>
    </row>
    <row r="43" spans="1:11">
      <c r="A43" s="6">
        <v>43</v>
      </c>
      <c r="C43" s="6" t="s">
        <v>123</v>
      </c>
      <c r="D43" s="6" t="s">
        <v>123</v>
      </c>
      <c r="E43" s="6" t="s">
        <v>123</v>
      </c>
      <c r="F43" s="6" t="s">
        <v>123</v>
      </c>
      <c r="G43" s="6" t="s">
        <v>123</v>
      </c>
      <c r="H43" s="6" t="s">
        <v>123</v>
      </c>
      <c r="I43" s="6" t="s">
        <v>123</v>
      </c>
      <c r="J43" s="6" t="s">
        <v>123</v>
      </c>
      <c r="K43" s="6" t="s">
        <v>123</v>
      </c>
    </row>
    <row r="44" spans="1:11">
      <c r="A44" s="6">
        <v>44</v>
      </c>
      <c r="C44" s="6" t="s">
        <v>123</v>
      </c>
      <c r="D44" s="6" t="s">
        <v>123</v>
      </c>
      <c r="E44" s="6" t="s">
        <v>123</v>
      </c>
      <c r="F44" s="6" t="s">
        <v>123</v>
      </c>
      <c r="G44" s="6" t="s">
        <v>123</v>
      </c>
      <c r="H44" s="6" t="s">
        <v>123</v>
      </c>
      <c r="I44" s="6" t="s">
        <v>123</v>
      </c>
      <c r="J44" s="6" t="s">
        <v>123</v>
      </c>
      <c r="K44" s="6" t="s">
        <v>123</v>
      </c>
    </row>
    <row r="45" spans="1:11">
      <c r="A45" s="6">
        <v>45</v>
      </c>
      <c r="C45" s="6" t="s">
        <v>123</v>
      </c>
      <c r="D45" s="6" t="s">
        <v>123</v>
      </c>
      <c r="E45" s="6" t="s">
        <v>123</v>
      </c>
      <c r="F45" s="6" t="s">
        <v>123</v>
      </c>
      <c r="G45" s="6" t="s">
        <v>123</v>
      </c>
      <c r="H45" s="6" t="s">
        <v>123</v>
      </c>
      <c r="I45" s="6" t="s">
        <v>123</v>
      </c>
      <c r="J45" s="6" t="s">
        <v>123</v>
      </c>
      <c r="K45" s="6" t="s">
        <v>123</v>
      </c>
    </row>
    <row r="46" spans="1:11">
      <c r="A46" s="6">
        <v>46</v>
      </c>
      <c r="C46" s="6" t="s">
        <v>123</v>
      </c>
      <c r="D46" s="6" t="s">
        <v>123</v>
      </c>
      <c r="E46" s="6" t="s">
        <v>123</v>
      </c>
      <c r="F46" s="6" t="s">
        <v>123</v>
      </c>
      <c r="G46" s="6" t="s">
        <v>123</v>
      </c>
      <c r="H46" s="6" t="s">
        <v>123</v>
      </c>
      <c r="I46" s="6" t="s">
        <v>123</v>
      </c>
      <c r="J46" s="6" t="s">
        <v>123</v>
      </c>
      <c r="K46" s="6" t="s">
        <v>123</v>
      </c>
    </row>
    <row r="47" spans="1:11">
      <c r="A47" s="6">
        <v>47</v>
      </c>
      <c r="C47" s="6" t="s">
        <v>123</v>
      </c>
      <c r="D47" s="6" t="s">
        <v>123</v>
      </c>
      <c r="E47" s="6" t="s">
        <v>123</v>
      </c>
      <c r="F47" s="6" t="s">
        <v>123</v>
      </c>
      <c r="G47" s="6" t="s">
        <v>123</v>
      </c>
      <c r="H47" s="6" t="s">
        <v>123</v>
      </c>
      <c r="I47" s="6" t="s">
        <v>123</v>
      </c>
      <c r="J47" s="6" t="s">
        <v>123</v>
      </c>
      <c r="K47" s="6" t="s">
        <v>123</v>
      </c>
    </row>
    <row r="48" spans="1:11">
      <c r="A48" s="6">
        <v>48</v>
      </c>
      <c r="C48" s="6" t="s">
        <v>123</v>
      </c>
      <c r="D48" s="6" t="s">
        <v>123</v>
      </c>
      <c r="E48" s="6" t="s">
        <v>123</v>
      </c>
      <c r="F48" s="6" t="s">
        <v>123</v>
      </c>
      <c r="G48" s="6" t="s">
        <v>123</v>
      </c>
      <c r="H48" s="6" t="s">
        <v>123</v>
      </c>
      <c r="I48" s="6" t="s">
        <v>123</v>
      </c>
      <c r="J48" s="6" t="s">
        <v>123</v>
      </c>
      <c r="K48" s="6" t="s">
        <v>123</v>
      </c>
    </row>
    <row r="49" spans="1:11">
      <c r="A49" s="6">
        <v>49</v>
      </c>
      <c r="C49" s="6" t="s">
        <v>123</v>
      </c>
      <c r="D49" s="6" t="s">
        <v>123</v>
      </c>
      <c r="E49" s="6" t="s">
        <v>123</v>
      </c>
      <c r="F49" s="6" t="s">
        <v>123</v>
      </c>
      <c r="G49" s="6" t="s">
        <v>123</v>
      </c>
      <c r="H49" s="6" t="s">
        <v>123</v>
      </c>
      <c r="I49" s="6" t="s">
        <v>123</v>
      </c>
      <c r="J49" s="6" t="s">
        <v>123</v>
      </c>
      <c r="K49" s="6" t="s">
        <v>123</v>
      </c>
    </row>
    <row r="50" spans="1:11">
      <c r="A50" s="6">
        <v>50</v>
      </c>
      <c r="C50" s="6" t="s">
        <v>123</v>
      </c>
      <c r="D50" s="6" t="s">
        <v>123</v>
      </c>
      <c r="E50" s="6" t="s">
        <v>123</v>
      </c>
      <c r="F50" s="6" t="s">
        <v>123</v>
      </c>
      <c r="G50" s="6" t="s">
        <v>123</v>
      </c>
      <c r="H50" s="6" t="s">
        <v>123</v>
      </c>
      <c r="I50" s="6" t="s">
        <v>123</v>
      </c>
      <c r="J50" s="6" t="s">
        <v>123</v>
      </c>
      <c r="K50" s="6" t="s">
        <v>123</v>
      </c>
    </row>
    <row r="51" spans="1:11">
      <c r="A51" s="6">
        <v>51</v>
      </c>
      <c r="C51" s="6" t="s">
        <v>123</v>
      </c>
      <c r="D51" s="6" t="s">
        <v>123</v>
      </c>
      <c r="E51" s="6" t="s">
        <v>123</v>
      </c>
      <c r="F51" s="6" t="s">
        <v>123</v>
      </c>
      <c r="G51" s="6" t="s">
        <v>123</v>
      </c>
      <c r="H51" s="6" t="s">
        <v>123</v>
      </c>
      <c r="I51" s="6" t="s">
        <v>123</v>
      </c>
      <c r="J51" s="6" t="s">
        <v>123</v>
      </c>
      <c r="K51" s="6" t="s">
        <v>123</v>
      </c>
    </row>
    <row r="52" spans="1:11">
      <c r="A52" s="6">
        <v>52</v>
      </c>
      <c r="C52" s="6" t="s">
        <v>123</v>
      </c>
      <c r="D52" s="6" t="s">
        <v>123</v>
      </c>
      <c r="E52" s="6" t="s">
        <v>123</v>
      </c>
      <c r="F52" s="6" t="s">
        <v>123</v>
      </c>
      <c r="G52" s="6" t="s">
        <v>123</v>
      </c>
      <c r="H52" s="6" t="s">
        <v>123</v>
      </c>
      <c r="I52" s="6" t="s">
        <v>123</v>
      </c>
      <c r="J52" s="6" t="s">
        <v>123</v>
      </c>
      <c r="K52" s="6" t="s">
        <v>123</v>
      </c>
    </row>
    <row r="53" spans="1:11">
      <c r="A53" s="6">
        <v>53</v>
      </c>
      <c r="C53" s="6" t="s">
        <v>123</v>
      </c>
      <c r="D53" s="6" t="s">
        <v>123</v>
      </c>
      <c r="E53" s="6" t="s">
        <v>123</v>
      </c>
      <c r="F53" s="6" t="s">
        <v>123</v>
      </c>
      <c r="G53" s="6" t="s">
        <v>123</v>
      </c>
      <c r="H53" s="6" t="s">
        <v>123</v>
      </c>
      <c r="I53" s="6" t="s">
        <v>123</v>
      </c>
      <c r="J53" s="6" t="s">
        <v>123</v>
      </c>
      <c r="K53" s="6" t="s">
        <v>123</v>
      </c>
    </row>
    <row r="54" spans="1:11">
      <c r="A54" s="6">
        <v>54</v>
      </c>
      <c r="C54" s="6" t="s">
        <v>123</v>
      </c>
      <c r="D54" s="6" t="s">
        <v>123</v>
      </c>
      <c r="E54" s="6" t="s">
        <v>123</v>
      </c>
      <c r="F54" s="6" t="s">
        <v>123</v>
      </c>
      <c r="G54" s="6" t="s">
        <v>123</v>
      </c>
      <c r="H54" s="6" t="s">
        <v>123</v>
      </c>
      <c r="I54" s="6" t="s">
        <v>123</v>
      </c>
      <c r="J54" s="6" t="s">
        <v>123</v>
      </c>
      <c r="K54" s="6" t="s">
        <v>123</v>
      </c>
    </row>
    <row r="55" spans="1:11">
      <c r="A55" s="6">
        <v>55</v>
      </c>
      <c r="C55" s="6" t="s">
        <v>123</v>
      </c>
      <c r="D55" s="6" t="s">
        <v>123</v>
      </c>
      <c r="E55" s="6" t="s">
        <v>123</v>
      </c>
      <c r="F55" s="6" t="s">
        <v>123</v>
      </c>
      <c r="G55" s="6" t="s">
        <v>123</v>
      </c>
      <c r="H55" s="6" t="s">
        <v>123</v>
      </c>
      <c r="I55" s="6" t="s">
        <v>123</v>
      </c>
      <c r="J55" s="6" t="s">
        <v>123</v>
      </c>
      <c r="K55" s="6" t="s">
        <v>123</v>
      </c>
    </row>
    <row r="56" spans="1:11">
      <c r="A56" s="6">
        <v>56</v>
      </c>
      <c r="C56" s="6" t="s">
        <v>123</v>
      </c>
      <c r="D56" s="6" t="s">
        <v>123</v>
      </c>
      <c r="E56" s="6" t="s">
        <v>123</v>
      </c>
      <c r="F56" s="6" t="s">
        <v>123</v>
      </c>
      <c r="G56" s="6" t="s">
        <v>123</v>
      </c>
      <c r="H56" s="6" t="s">
        <v>123</v>
      </c>
      <c r="I56" s="6" t="s">
        <v>123</v>
      </c>
      <c r="J56" s="6" t="s">
        <v>123</v>
      </c>
      <c r="K56" s="6" t="s">
        <v>123</v>
      </c>
    </row>
    <row r="57" spans="1:11">
      <c r="A57" s="6">
        <v>57</v>
      </c>
      <c r="C57" s="6" t="s">
        <v>123</v>
      </c>
      <c r="D57" s="6" t="s">
        <v>123</v>
      </c>
      <c r="E57" s="6" t="s">
        <v>123</v>
      </c>
      <c r="F57" s="6" t="s">
        <v>123</v>
      </c>
      <c r="G57" s="6" t="s">
        <v>123</v>
      </c>
      <c r="H57" s="6" t="s">
        <v>123</v>
      </c>
      <c r="I57" s="6" t="s">
        <v>123</v>
      </c>
      <c r="J57" s="6" t="s">
        <v>123</v>
      </c>
      <c r="K57" s="6" t="s">
        <v>123</v>
      </c>
    </row>
    <row r="58" spans="1:11">
      <c r="A58" s="6">
        <v>58</v>
      </c>
      <c r="C58" s="6" t="s">
        <v>123</v>
      </c>
      <c r="D58" s="6" t="s">
        <v>123</v>
      </c>
      <c r="E58" s="6" t="s">
        <v>123</v>
      </c>
      <c r="F58" s="6" t="s">
        <v>123</v>
      </c>
      <c r="G58" s="6" t="s">
        <v>123</v>
      </c>
      <c r="H58" s="6" t="s">
        <v>123</v>
      </c>
      <c r="I58" s="6" t="s">
        <v>123</v>
      </c>
      <c r="J58" s="6" t="s">
        <v>123</v>
      </c>
      <c r="K58" s="6" t="s">
        <v>123</v>
      </c>
    </row>
    <row r="59" spans="1:11">
      <c r="A59" s="6">
        <v>59</v>
      </c>
      <c r="C59" s="6" t="s">
        <v>123</v>
      </c>
      <c r="D59" s="6" t="s">
        <v>123</v>
      </c>
      <c r="E59" s="6" t="s">
        <v>123</v>
      </c>
      <c r="F59" s="6" t="s">
        <v>123</v>
      </c>
      <c r="G59" s="6" t="s">
        <v>123</v>
      </c>
      <c r="H59" s="6" t="s">
        <v>123</v>
      </c>
      <c r="I59" s="6" t="s">
        <v>123</v>
      </c>
      <c r="J59" s="6" t="s">
        <v>123</v>
      </c>
      <c r="K59" s="6" t="s">
        <v>123</v>
      </c>
    </row>
    <row r="60" spans="1:11">
      <c r="A60" s="6">
        <v>60</v>
      </c>
      <c r="C60" s="6" t="s">
        <v>123</v>
      </c>
      <c r="D60" s="6" t="s">
        <v>123</v>
      </c>
      <c r="E60" s="6" t="s">
        <v>123</v>
      </c>
      <c r="F60" s="6" t="s">
        <v>123</v>
      </c>
      <c r="G60" s="6" t="s">
        <v>123</v>
      </c>
      <c r="H60" s="6" t="s">
        <v>123</v>
      </c>
      <c r="I60" s="6" t="s">
        <v>123</v>
      </c>
      <c r="J60" s="6" t="s">
        <v>123</v>
      </c>
      <c r="K60" s="6" t="s">
        <v>123</v>
      </c>
    </row>
    <row r="61" spans="1:11">
      <c r="A61" s="6">
        <v>61</v>
      </c>
      <c r="C61" s="6" t="s">
        <v>123</v>
      </c>
      <c r="D61" s="6" t="s">
        <v>123</v>
      </c>
      <c r="E61" s="6" t="s">
        <v>123</v>
      </c>
      <c r="F61" s="6" t="s">
        <v>123</v>
      </c>
      <c r="G61" s="6" t="s">
        <v>123</v>
      </c>
      <c r="H61" s="6" t="s">
        <v>123</v>
      </c>
      <c r="I61" s="6" t="s">
        <v>123</v>
      </c>
      <c r="J61" s="6" t="s">
        <v>123</v>
      </c>
      <c r="K61" s="6" t="s">
        <v>123</v>
      </c>
    </row>
    <row r="62" spans="1:11">
      <c r="A62" s="6">
        <v>62</v>
      </c>
      <c r="C62" s="6" t="s">
        <v>123</v>
      </c>
      <c r="D62" s="6" t="s">
        <v>123</v>
      </c>
      <c r="E62" s="6" t="s">
        <v>123</v>
      </c>
      <c r="F62" s="6" t="s">
        <v>123</v>
      </c>
      <c r="G62" s="6" t="s">
        <v>123</v>
      </c>
      <c r="H62" s="6" t="s">
        <v>123</v>
      </c>
      <c r="I62" s="6" t="s">
        <v>123</v>
      </c>
      <c r="J62" s="6" t="s">
        <v>123</v>
      </c>
      <c r="K62" s="6" t="s">
        <v>123</v>
      </c>
    </row>
    <row r="63" spans="1:11">
      <c r="A63" s="6">
        <v>63</v>
      </c>
      <c r="C63" s="6" t="s">
        <v>123</v>
      </c>
      <c r="D63" s="6" t="s">
        <v>123</v>
      </c>
      <c r="E63" s="6" t="s">
        <v>123</v>
      </c>
      <c r="F63" s="6" t="s">
        <v>123</v>
      </c>
      <c r="G63" s="6" t="s">
        <v>123</v>
      </c>
      <c r="H63" s="6" t="s">
        <v>123</v>
      </c>
      <c r="I63" s="6" t="s">
        <v>123</v>
      </c>
      <c r="J63" s="6" t="s">
        <v>123</v>
      </c>
      <c r="K63" s="6" t="s">
        <v>123</v>
      </c>
    </row>
    <row r="64" spans="1:11">
      <c r="A64" s="6">
        <v>64</v>
      </c>
      <c r="C64" s="6" t="s">
        <v>123</v>
      </c>
      <c r="D64" s="6" t="s">
        <v>123</v>
      </c>
      <c r="E64" s="6" t="s">
        <v>123</v>
      </c>
      <c r="F64" s="6" t="s">
        <v>123</v>
      </c>
      <c r="G64" s="6" t="s">
        <v>123</v>
      </c>
      <c r="H64" s="6" t="s">
        <v>123</v>
      </c>
      <c r="I64" s="6" t="s">
        <v>123</v>
      </c>
      <c r="J64" s="6" t="s">
        <v>123</v>
      </c>
      <c r="K64" s="6" t="s">
        <v>123</v>
      </c>
    </row>
    <row r="65" spans="1:11">
      <c r="A65" s="6">
        <v>65</v>
      </c>
      <c r="C65" s="6" t="s">
        <v>123</v>
      </c>
      <c r="D65" s="6" t="s">
        <v>123</v>
      </c>
      <c r="E65" s="6" t="s">
        <v>123</v>
      </c>
      <c r="F65" s="6" t="s">
        <v>123</v>
      </c>
      <c r="G65" s="6" t="s">
        <v>123</v>
      </c>
      <c r="H65" s="6" t="s">
        <v>123</v>
      </c>
      <c r="I65" s="6" t="s">
        <v>123</v>
      </c>
      <c r="J65" s="6" t="s">
        <v>123</v>
      </c>
      <c r="K65" s="6" t="s">
        <v>123</v>
      </c>
    </row>
    <row r="66" spans="1:11">
      <c r="A66" s="6">
        <v>66</v>
      </c>
      <c r="C66" s="6" t="s">
        <v>123</v>
      </c>
      <c r="D66" s="6" t="s">
        <v>123</v>
      </c>
      <c r="E66" s="6" t="s">
        <v>123</v>
      </c>
      <c r="F66" s="6" t="s">
        <v>123</v>
      </c>
      <c r="G66" s="6" t="s">
        <v>123</v>
      </c>
      <c r="H66" s="6" t="s">
        <v>123</v>
      </c>
      <c r="I66" s="6" t="s">
        <v>123</v>
      </c>
      <c r="J66" s="6" t="s">
        <v>123</v>
      </c>
      <c r="K66" s="6" t="s">
        <v>123</v>
      </c>
    </row>
    <row r="67" spans="1:11">
      <c r="A67" s="6">
        <v>67</v>
      </c>
      <c r="C67" s="6" t="s">
        <v>123</v>
      </c>
      <c r="D67" s="6" t="s">
        <v>123</v>
      </c>
      <c r="E67" s="6" t="s">
        <v>123</v>
      </c>
      <c r="F67" s="6" t="s">
        <v>123</v>
      </c>
      <c r="G67" s="6" t="s">
        <v>123</v>
      </c>
      <c r="H67" s="6" t="s">
        <v>123</v>
      </c>
      <c r="I67" s="6" t="s">
        <v>123</v>
      </c>
      <c r="J67" s="6" t="s">
        <v>123</v>
      </c>
      <c r="K67" s="6" t="s">
        <v>123</v>
      </c>
    </row>
    <row r="68" spans="1:11">
      <c r="A68" s="6">
        <v>68</v>
      </c>
      <c r="C68" s="6" t="s">
        <v>123</v>
      </c>
      <c r="D68" s="6" t="s">
        <v>123</v>
      </c>
      <c r="E68" s="6" t="s">
        <v>123</v>
      </c>
      <c r="F68" s="6" t="s">
        <v>123</v>
      </c>
      <c r="G68" s="6" t="s">
        <v>123</v>
      </c>
      <c r="H68" s="6" t="s">
        <v>123</v>
      </c>
      <c r="I68" s="6" t="s">
        <v>123</v>
      </c>
      <c r="J68" s="6" t="s">
        <v>123</v>
      </c>
      <c r="K68" s="6" t="s">
        <v>123</v>
      </c>
    </row>
    <row r="69" spans="1:11">
      <c r="A69" s="6">
        <v>69</v>
      </c>
      <c r="C69" s="6" t="s">
        <v>123</v>
      </c>
      <c r="D69" s="6" t="s">
        <v>123</v>
      </c>
      <c r="E69" s="6" t="s">
        <v>123</v>
      </c>
      <c r="F69" s="6" t="s">
        <v>123</v>
      </c>
      <c r="G69" s="6" t="s">
        <v>123</v>
      </c>
      <c r="H69" s="6" t="s">
        <v>123</v>
      </c>
      <c r="I69" s="6" t="s">
        <v>123</v>
      </c>
      <c r="J69" s="6" t="s">
        <v>123</v>
      </c>
      <c r="K69" s="6" t="s">
        <v>123</v>
      </c>
    </row>
    <row r="70" spans="1:11">
      <c r="A70" s="6">
        <v>70</v>
      </c>
      <c r="C70" s="6" t="s">
        <v>123</v>
      </c>
      <c r="D70" s="6" t="s">
        <v>123</v>
      </c>
      <c r="E70" s="6" t="s">
        <v>123</v>
      </c>
      <c r="F70" s="6" t="s">
        <v>123</v>
      </c>
      <c r="G70" s="6" t="s">
        <v>123</v>
      </c>
      <c r="H70" s="6" t="s">
        <v>123</v>
      </c>
      <c r="I70" s="6" t="s">
        <v>123</v>
      </c>
      <c r="J70" s="6" t="s">
        <v>123</v>
      </c>
      <c r="K70" s="6" t="s">
        <v>123</v>
      </c>
    </row>
    <row r="71" spans="1:11">
      <c r="A71" s="6">
        <v>71</v>
      </c>
      <c r="C71" s="6" t="s">
        <v>123</v>
      </c>
      <c r="D71" s="6" t="s">
        <v>123</v>
      </c>
      <c r="E71" s="6" t="s">
        <v>123</v>
      </c>
      <c r="F71" s="6" t="s">
        <v>123</v>
      </c>
      <c r="G71" s="6" t="s">
        <v>123</v>
      </c>
      <c r="H71" s="6" t="s">
        <v>123</v>
      </c>
      <c r="I71" s="6" t="s">
        <v>123</v>
      </c>
      <c r="J71" s="6" t="s">
        <v>123</v>
      </c>
      <c r="K71" s="6" t="s">
        <v>123</v>
      </c>
    </row>
    <row r="72" spans="1:11">
      <c r="A72" s="6">
        <v>72</v>
      </c>
      <c r="C72" s="6" t="s">
        <v>123</v>
      </c>
      <c r="D72" s="6" t="s">
        <v>123</v>
      </c>
      <c r="E72" s="6" t="s">
        <v>123</v>
      </c>
      <c r="F72" s="6" t="s">
        <v>123</v>
      </c>
      <c r="G72" s="6" t="s">
        <v>123</v>
      </c>
      <c r="H72" s="6" t="s">
        <v>123</v>
      </c>
      <c r="I72" s="6" t="s">
        <v>123</v>
      </c>
      <c r="J72" s="6" t="s">
        <v>123</v>
      </c>
      <c r="K72" s="6" t="s">
        <v>123</v>
      </c>
    </row>
    <row r="73" spans="1:11">
      <c r="A73" s="6">
        <v>73</v>
      </c>
      <c r="C73" s="6" t="s">
        <v>123</v>
      </c>
      <c r="D73" s="6" t="s">
        <v>123</v>
      </c>
      <c r="E73" s="6" t="s">
        <v>123</v>
      </c>
      <c r="F73" s="6" t="s">
        <v>123</v>
      </c>
      <c r="G73" s="6" t="s">
        <v>123</v>
      </c>
      <c r="H73" s="6" t="s">
        <v>123</v>
      </c>
      <c r="I73" s="6" t="s">
        <v>123</v>
      </c>
      <c r="J73" s="6" t="s">
        <v>123</v>
      </c>
      <c r="K73" s="6" t="s">
        <v>123</v>
      </c>
    </row>
    <row r="74" spans="1:11">
      <c r="A74" s="6">
        <v>74</v>
      </c>
      <c r="C74" s="6" t="s">
        <v>123</v>
      </c>
      <c r="D74" s="6" t="s">
        <v>123</v>
      </c>
      <c r="E74" s="6" t="s">
        <v>123</v>
      </c>
      <c r="F74" s="6" t="s">
        <v>123</v>
      </c>
      <c r="G74" s="6" t="s">
        <v>123</v>
      </c>
      <c r="H74" s="6" t="s">
        <v>123</v>
      </c>
      <c r="I74" s="6" t="s">
        <v>123</v>
      </c>
      <c r="J74" s="6" t="s">
        <v>123</v>
      </c>
      <c r="K74" s="6" t="s">
        <v>123</v>
      </c>
    </row>
    <row r="75" spans="1:11">
      <c r="A75" s="6">
        <v>75</v>
      </c>
      <c r="C75" s="6" t="s">
        <v>123</v>
      </c>
      <c r="D75" s="6" t="s">
        <v>123</v>
      </c>
      <c r="E75" s="6" t="s">
        <v>123</v>
      </c>
      <c r="F75" s="6" t="s">
        <v>123</v>
      </c>
      <c r="G75" s="6" t="s">
        <v>123</v>
      </c>
      <c r="H75" s="6" t="s">
        <v>123</v>
      </c>
      <c r="I75" s="6" t="s">
        <v>123</v>
      </c>
      <c r="J75" s="6" t="s">
        <v>123</v>
      </c>
      <c r="K75" s="6" t="s">
        <v>123</v>
      </c>
    </row>
    <row r="76" spans="1:11">
      <c r="A76" s="6">
        <v>76</v>
      </c>
      <c r="C76" s="6" t="s">
        <v>123</v>
      </c>
      <c r="D76" s="6" t="s">
        <v>123</v>
      </c>
      <c r="E76" s="6" t="s">
        <v>123</v>
      </c>
      <c r="F76" s="6" t="s">
        <v>123</v>
      </c>
      <c r="G76" s="6" t="s">
        <v>123</v>
      </c>
      <c r="H76" s="6" t="s">
        <v>123</v>
      </c>
      <c r="I76" s="6" t="s">
        <v>123</v>
      </c>
      <c r="J76" s="6" t="s">
        <v>123</v>
      </c>
      <c r="K76" s="6" t="s">
        <v>123</v>
      </c>
    </row>
    <row r="77" spans="1:11">
      <c r="A77" s="6">
        <v>77</v>
      </c>
      <c r="C77" s="6" t="s">
        <v>123</v>
      </c>
      <c r="D77" s="6" t="s">
        <v>123</v>
      </c>
      <c r="E77" s="6" t="s">
        <v>123</v>
      </c>
      <c r="F77" s="6" t="s">
        <v>123</v>
      </c>
      <c r="G77" s="6" t="s">
        <v>123</v>
      </c>
      <c r="H77" s="6" t="s">
        <v>123</v>
      </c>
      <c r="I77" s="6" t="s">
        <v>123</v>
      </c>
      <c r="J77" s="6" t="s">
        <v>123</v>
      </c>
      <c r="K77" s="6" t="s">
        <v>123</v>
      </c>
    </row>
    <row r="78" spans="1:11">
      <c r="A78" s="6">
        <v>78</v>
      </c>
      <c r="C78" s="6" t="s">
        <v>123</v>
      </c>
      <c r="D78" s="6" t="s">
        <v>123</v>
      </c>
      <c r="E78" s="6" t="s">
        <v>123</v>
      </c>
      <c r="F78" s="6" t="s">
        <v>123</v>
      </c>
      <c r="G78" s="6" t="s">
        <v>123</v>
      </c>
      <c r="H78" s="6" t="s">
        <v>123</v>
      </c>
      <c r="I78" s="6" t="s">
        <v>123</v>
      </c>
      <c r="J78" s="6" t="s">
        <v>123</v>
      </c>
      <c r="K78" s="6" t="s">
        <v>123</v>
      </c>
    </row>
    <row r="79" spans="1:11">
      <c r="A79" s="6">
        <v>79</v>
      </c>
      <c r="C79" s="6" t="s">
        <v>123</v>
      </c>
      <c r="D79" s="6" t="s">
        <v>123</v>
      </c>
      <c r="E79" s="6" t="s">
        <v>123</v>
      </c>
      <c r="F79" s="6" t="s">
        <v>123</v>
      </c>
      <c r="G79" s="6" t="s">
        <v>123</v>
      </c>
      <c r="H79" s="6" t="s">
        <v>123</v>
      </c>
      <c r="I79" s="6" t="s">
        <v>123</v>
      </c>
      <c r="J79" s="6" t="s">
        <v>123</v>
      </c>
      <c r="K79" s="6" t="s">
        <v>123</v>
      </c>
    </row>
    <row r="80" spans="1:11">
      <c r="A80" s="6">
        <v>80</v>
      </c>
      <c r="C80" s="6" t="s">
        <v>123</v>
      </c>
      <c r="D80" s="6" t="s">
        <v>123</v>
      </c>
      <c r="E80" s="6" t="s">
        <v>123</v>
      </c>
      <c r="F80" s="6" t="s">
        <v>123</v>
      </c>
      <c r="G80" s="6" t="s">
        <v>123</v>
      </c>
      <c r="H80" s="6" t="s">
        <v>123</v>
      </c>
      <c r="I80" s="6" t="s">
        <v>123</v>
      </c>
      <c r="J80" s="6" t="s">
        <v>123</v>
      </c>
      <c r="K80" s="6" t="s">
        <v>123</v>
      </c>
    </row>
    <row r="81" spans="1:11">
      <c r="A81" s="6">
        <v>81</v>
      </c>
      <c r="C81" s="6" t="s">
        <v>123</v>
      </c>
      <c r="D81" s="6" t="s">
        <v>123</v>
      </c>
      <c r="E81" s="6" t="s">
        <v>123</v>
      </c>
      <c r="F81" s="6" t="s">
        <v>123</v>
      </c>
      <c r="G81" s="6" t="s">
        <v>123</v>
      </c>
      <c r="H81" s="6" t="s">
        <v>123</v>
      </c>
      <c r="I81" s="6" t="s">
        <v>123</v>
      </c>
      <c r="J81" s="6" t="s">
        <v>123</v>
      </c>
      <c r="K81" s="6" t="s">
        <v>123</v>
      </c>
    </row>
    <row r="82" spans="1:11">
      <c r="A82" s="6">
        <v>82</v>
      </c>
      <c r="C82" s="6" t="s">
        <v>123</v>
      </c>
      <c r="D82" s="6" t="s">
        <v>123</v>
      </c>
      <c r="E82" s="6" t="s">
        <v>123</v>
      </c>
      <c r="F82" s="6" t="s">
        <v>123</v>
      </c>
      <c r="G82" s="6" t="s">
        <v>123</v>
      </c>
      <c r="H82" s="6" t="s">
        <v>123</v>
      </c>
      <c r="I82" s="6" t="s">
        <v>123</v>
      </c>
      <c r="J82" s="6" t="s">
        <v>123</v>
      </c>
      <c r="K82" s="6" t="s">
        <v>123</v>
      </c>
    </row>
    <row r="83" spans="1:11">
      <c r="A83" s="6">
        <v>83</v>
      </c>
      <c r="C83" s="6" t="s">
        <v>123</v>
      </c>
      <c r="D83" s="6" t="s">
        <v>123</v>
      </c>
      <c r="E83" s="6" t="s">
        <v>123</v>
      </c>
      <c r="F83" s="6" t="s">
        <v>123</v>
      </c>
      <c r="G83" s="6" t="s">
        <v>123</v>
      </c>
      <c r="H83" s="6" t="s">
        <v>123</v>
      </c>
      <c r="I83" s="6" t="s">
        <v>123</v>
      </c>
      <c r="J83" s="6" t="s">
        <v>123</v>
      </c>
      <c r="K83" s="6" t="s">
        <v>123</v>
      </c>
    </row>
    <row r="84" spans="1:11">
      <c r="A84" s="6">
        <v>84</v>
      </c>
      <c r="C84" s="6" t="s">
        <v>123</v>
      </c>
      <c r="D84" s="6" t="s">
        <v>123</v>
      </c>
      <c r="E84" s="6" t="s">
        <v>123</v>
      </c>
      <c r="F84" s="6" t="s">
        <v>123</v>
      </c>
      <c r="G84" s="6" t="s">
        <v>123</v>
      </c>
      <c r="H84" s="6" t="s">
        <v>123</v>
      </c>
      <c r="I84" s="6" t="s">
        <v>123</v>
      </c>
      <c r="J84" s="6" t="s">
        <v>123</v>
      </c>
      <c r="K84" s="6" t="s">
        <v>123</v>
      </c>
    </row>
    <row r="85" spans="1:11">
      <c r="A85" s="6">
        <v>85</v>
      </c>
      <c r="C85" s="6" t="s">
        <v>123</v>
      </c>
      <c r="D85" s="6" t="s">
        <v>123</v>
      </c>
      <c r="E85" s="6" t="s">
        <v>123</v>
      </c>
      <c r="F85" s="6" t="s">
        <v>123</v>
      </c>
      <c r="G85" s="6" t="s">
        <v>123</v>
      </c>
      <c r="H85" s="6" t="s">
        <v>123</v>
      </c>
      <c r="I85" s="6" t="s">
        <v>123</v>
      </c>
      <c r="J85" s="6" t="s">
        <v>123</v>
      </c>
      <c r="K85" s="6" t="s">
        <v>123</v>
      </c>
    </row>
    <row r="86" spans="1:11">
      <c r="A86" s="6">
        <v>86</v>
      </c>
      <c r="C86" s="6" t="s">
        <v>123</v>
      </c>
      <c r="D86" s="6" t="s">
        <v>123</v>
      </c>
      <c r="E86" s="6" t="s">
        <v>123</v>
      </c>
      <c r="F86" s="6" t="s">
        <v>123</v>
      </c>
      <c r="G86" s="6" t="s">
        <v>123</v>
      </c>
      <c r="H86" s="6" t="s">
        <v>123</v>
      </c>
      <c r="I86" s="6" t="s">
        <v>123</v>
      </c>
      <c r="J86" s="6" t="s">
        <v>123</v>
      </c>
      <c r="K86" s="6" t="s">
        <v>123</v>
      </c>
    </row>
    <row r="87" spans="1:11">
      <c r="A87" s="6">
        <v>87</v>
      </c>
      <c r="C87" s="6" t="s">
        <v>123</v>
      </c>
      <c r="D87" s="6" t="s">
        <v>123</v>
      </c>
      <c r="E87" s="6" t="s">
        <v>123</v>
      </c>
      <c r="F87" s="6" t="s">
        <v>123</v>
      </c>
      <c r="G87" s="6" t="s">
        <v>123</v>
      </c>
      <c r="H87" s="6" t="s">
        <v>123</v>
      </c>
      <c r="I87" s="6" t="s">
        <v>123</v>
      </c>
      <c r="J87" s="6" t="s">
        <v>123</v>
      </c>
      <c r="K87" s="6" t="s">
        <v>123</v>
      </c>
    </row>
    <row r="88" spans="1:11">
      <c r="A88" s="6">
        <v>88</v>
      </c>
      <c r="C88" s="6" t="s">
        <v>123</v>
      </c>
      <c r="D88" s="6" t="s">
        <v>123</v>
      </c>
      <c r="E88" s="6" t="s">
        <v>123</v>
      </c>
      <c r="F88" s="6" t="s">
        <v>123</v>
      </c>
      <c r="G88" s="6" t="s">
        <v>123</v>
      </c>
      <c r="H88" s="6" t="s">
        <v>123</v>
      </c>
      <c r="I88" s="6" t="s">
        <v>123</v>
      </c>
      <c r="J88" s="6" t="s">
        <v>123</v>
      </c>
      <c r="K88" s="6" t="s">
        <v>123</v>
      </c>
    </row>
    <row r="89" spans="1:11">
      <c r="A89" s="6">
        <v>89</v>
      </c>
      <c r="C89" s="6" t="s">
        <v>123</v>
      </c>
      <c r="D89" s="6" t="s">
        <v>123</v>
      </c>
      <c r="E89" s="6" t="s">
        <v>123</v>
      </c>
      <c r="F89" s="6" t="s">
        <v>123</v>
      </c>
      <c r="G89" s="6" t="s">
        <v>123</v>
      </c>
      <c r="H89" s="6" t="s">
        <v>123</v>
      </c>
      <c r="I89" s="6" t="s">
        <v>123</v>
      </c>
      <c r="J89" s="6" t="s">
        <v>123</v>
      </c>
      <c r="K89" s="6" t="s">
        <v>123</v>
      </c>
    </row>
    <row r="90" spans="1:11">
      <c r="A90" s="6">
        <v>90</v>
      </c>
      <c r="C90" s="6" t="s">
        <v>123</v>
      </c>
      <c r="D90" s="6" t="s">
        <v>123</v>
      </c>
      <c r="E90" s="6" t="s">
        <v>123</v>
      </c>
      <c r="F90" s="6" t="s">
        <v>123</v>
      </c>
      <c r="G90" s="6" t="s">
        <v>123</v>
      </c>
      <c r="H90" s="6" t="s">
        <v>123</v>
      </c>
      <c r="I90" s="6" t="s">
        <v>123</v>
      </c>
      <c r="J90" s="6" t="s">
        <v>123</v>
      </c>
      <c r="K90" s="6" t="s">
        <v>123</v>
      </c>
    </row>
    <row r="91" spans="1:11">
      <c r="A91" s="6">
        <v>91</v>
      </c>
      <c r="C91" s="6" t="s">
        <v>123</v>
      </c>
      <c r="D91" s="6" t="s">
        <v>123</v>
      </c>
      <c r="E91" s="6" t="s">
        <v>123</v>
      </c>
      <c r="F91" s="6" t="s">
        <v>123</v>
      </c>
      <c r="G91" s="6" t="s">
        <v>123</v>
      </c>
      <c r="H91" s="6" t="s">
        <v>123</v>
      </c>
      <c r="I91" s="6" t="s">
        <v>123</v>
      </c>
      <c r="J91" s="6" t="s">
        <v>123</v>
      </c>
      <c r="K91" s="6" t="s">
        <v>123</v>
      </c>
    </row>
    <row r="92" spans="1:11">
      <c r="A92" s="6">
        <v>92</v>
      </c>
      <c r="C92" s="6" t="s">
        <v>123</v>
      </c>
      <c r="D92" s="6" t="s">
        <v>123</v>
      </c>
      <c r="E92" s="6" t="s">
        <v>123</v>
      </c>
      <c r="F92" s="6" t="s">
        <v>123</v>
      </c>
      <c r="G92" s="6" t="s">
        <v>123</v>
      </c>
      <c r="H92" s="6" t="s">
        <v>123</v>
      </c>
      <c r="I92" s="6" t="s">
        <v>123</v>
      </c>
      <c r="J92" s="6" t="s">
        <v>123</v>
      </c>
      <c r="K92" s="6" t="s">
        <v>123</v>
      </c>
    </row>
    <row r="93" spans="1:11">
      <c r="A93" s="6">
        <v>93</v>
      </c>
      <c r="C93" s="6" t="s">
        <v>123</v>
      </c>
      <c r="D93" s="6" t="s">
        <v>123</v>
      </c>
      <c r="E93" s="6" t="s">
        <v>123</v>
      </c>
      <c r="F93" s="6" t="s">
        <v>123</v>
      </c>
      <c r="G93" s="6" t="s">
        <v>123</v>
      </c>
      <c r="H93" s="6" t="s">
        <v>123</v>
      </c>
      <c r="I93" s="6" t="s">
        <v>123</v>
      </c>
      <c r="J93" s="6" t="s">
        <v>123</v>
      </c>
      <c r="K93" s="6" t="s">
        <v>123</v>
      </c>
    </row>
    <row r="94" spans="1:11">
      <c r="A94" s="6">
        <v>94</v>
      </c>
      <c r="C94" s="6" t="s">
        <v>123</v>
      </c>
      <c r="D94" s="6" t="s">
        <v>123</v>
      </c>
      <c r="E94" s="6" t="s">
        <v>123</v>
      </c>
      <c r="F94" s="6" t="s">
        <v>123</v>
      </c>
      <c r="G94" s="6" t="s">
        <v>123</v>
      </c>
      <c r="H94" s="6" t="s">
        <v>123</v>
      </c>
      <c r="I94" s="6" t="s">
        <v>123</v>
      </c>
      <c r="J94" s="6" t="s">
        <v>123</v>
      </c>
      <c r="K94" s="6" t="s">
        <v>123</v>
      </c>
    </row>
    <row r="95" spans="1:11">
      <c r="A95" s="6">
        <v>95</v>
      </c>
      <c r="C95" s="6" t="s">
        <v>123</v>
      </c>
      <c r="D95" s="6" t="s">
        <v>123</v>
      </c>
      <c r="E95" s="6" t="s">
        <v>123</v>
      </c>
      <c r="F95" s="6" t="s">
        <v>123</v>
      </c>
      <c r="G95" s="6" t="s">
        <v>123</v>
      </c>
      <c r="H95" s="6" t="s">
        <v>123</v>
      </c>
      <c r="I95" s="6" t="s">
        <v>123</v>
      </c>
      <c r="J95" s="6" t="s">
        <v>123</v>
      </c>
      <c r="K95" s="6" t="s">
        <v>123</v>
      </c>
    </row>
    <row r="96" spans="1:11">
      <c r="A96" s="6">
        <v>96</v>
      </c>
      <c r="C96" s="6" t="s">
        <v>123</v>
      </c>
      <c r="D96" s="6" t="s">
        <v>123</v>
      </c>
      <c r="E96" s="6" t="s">
        <v>123</v>
      </c>
      <c r="F96" s="6" t="s">
        <v>123</v>
      </c>
      <c r="G96" s="6" t="s">
        <v>123</v>
      </c>
      <c r="H96" s="6" t="s">
        <v>123</v>
      </c>
      <c r="I96" s="6" t="s">
        <v>123</v>
      </c>
      <c r="J96" s="6" t="s">
        <v>123</v>
      </c>
      <c r="K96" s="6" t="s">
        <v>123</v>
      </c>
    </row>
    <row r="97" spans="1:11">
      <c r="A97" s="6">
        <v>97</v>
      </c>
      <c r="C97" s="6" t="s">
        <v>123</v>
      </c>
      <c r="D97" s="6" t="s">
        <v>123</v>
      </c>
      <c r="E97" s="6" t="s">
        <v>123</v>
      </c>
      <c r="F97" s="6" t="s">
        <v>123</v>
      </c>
      <c r="G97" s="6" t="s">
        <v>123</v>
      </c>
      <c r="H97" s="6" t="s">
        <v>123</v>
      </c>
      <c r="I97" s="6" t="s">
        <v>123</v>
      </c>
      <c r="J97" s="6" t="s">
        <v>123</v>
      </c>
      <c r="K97" s="6" t="s">
        <v>123</v>
      </c>
    </row>
    <row r="98" spans="1:11">
      <c r="A98" s="6">
        <v>98</v>
      </c>
      <c r="C98" s="6" t="s">
        <v>123</v>
      </c>
      <c r="D98" s="6" t="s">
        <v>123</v>
      </c>
      <c r="E98" s="6" t="s">
        <v>123</v>
      </c>
      <c r="F98" s="6" t="s">
        <v>123</v>
      </c>
      <c r="G98" s="6" t="s">
        <v>123</v>
      </c>
      <c r="H98" s="6" t="s">
        <v>123</v>
      </c>
      <c r="I98" s="6" t="s">
        <v>123</v>
      </c>
      <c r="J98" s="6" t="s">
        <v>123</v>
      </c>
      <c r="K98" s="6" t="s">
        <v>123</v>
      </c>
    </row>
    <row r="99" spans="1:11">
      <c r="A99" s="6">
        <v>99</v>
      </c>
      <c r="C99" s="6" t="s">
        <v>123</v>
      </c>
      <c r="D99" s="6" t="s">
        <v>123</v>
      </c>
      <c r="E99" s="6" t="s">
        <v>123</v>
      </c>
      <c r="F99" s="6" t="s">
        <v>123</v>
      </c>
      <c r="G99" s="6" t="s">
        <v>123</v>
      </c>
      <c r="H99" s="6" t="s">
        <v>123</v>
      </c>
      <c r="I99" s="6" t="s">
        <v>123</v>
      </c>
      <c r="J99" s="6" t="s">
        <v>123</v>
      </c>
      <c r="K99" s="6" t="s">
        <v>123</v>
      </c>
    </row>
    <row r="100" spans="1:11">
      <c r="A100" s="6">
        <v>100</v>
      </c>
      <c r="C100" s="6" t="s">
        <v>123</v>
      </c>
      <c r="D100" s="6" t="s">
        <v>123</v>
      </c>
      <c r="E100" s="6" t="s">
        <v>123</v>
      </c>
      <c r="F100" s="6" t="s">
        <v>123</v>
      </c>
      <c r="G100" s="6" t="s">
        <v>123</v>
      </c>
      <c r="H100" s="6" t="s">
        <v>123</v>
      </c>
      <c r="I100" s="6" t="s">
        <v>123</v>
      </c>
      <c r="J100" s="6" t="s">
        <v>123</v>
      </c>
      <c r="K100" s="6" t="s">
        <v>123</v>
      </c>
    </row>
    <row r="101" spans="1:11">
      <c r="C101" s="6" t="s">
        <v>123</v>
      </c>
      <c r="D101" s="6" t="s">
        <v>123</v>
      </c>
      <c r="E101" s="6" t="s">
        <v>123</v>
      </c>
      <c r="F101" s="6" t="s">
        <v>123</v>
      </c>
      <c r="G101" s="6" t="s">
        <v>123</v>
      </c>
      <c r="H101" s="6" t="s">
        <v>123</v>
      </c>
      <c r="I101" s="6" t="s">
        <v>123</v>
      </c>
      <c r="J101" s="6" t="s">
        <v>123</v>
      </c>
      <c r="K101" s="6" t="s">
        <v>123</v>
      </c>
    </row>
    <row r="102" spans="1:11">
      <c r="C102" s="6" t="s">
        <v>123</v>
      </c>
      <c r="D102" s="6" t="s">
        <v>123</v>
      </c>
      <c r="E102" s="6" t="s">
        <v>123</v>
      </c>
      <c r="F102" s="6" t="s">
        <v>123</v>
      </c>
      <c r="G102" s="6" t="s">
        <v>123</v>
      </c>
      <c r="H102" s="6" t="s">
        <v>123</v>
      </c>
      <c r="I102" s="6" t="s">
        <v>123</v>
      </c>
      <c r="J102" s="6" t="s">
        <v>123</v>
      </c>
      <c r="K102" s="6" t="s">
        <v>123</v>
      </c>
    </row>
    <row r="103" spans="1:11">
      <c r="C103" s="6" t="s">
        <v>123</v>
      </c>
      <c r="D103" s="6" t="s">
        <v>123</v>
      </c>
      <c r="E103" s="6" t="s">
        <v>123</v>
      </c>
      <c r="F103" s="6" t="s">
        <v>123</v>
      </c>
      <c r="G103" s="6" t="s">
        <v>123</v>
      </c>
      <c r="H103" s="6" t="s">
        <v>123</v>
      </c>
      <c r="I103" s="6" t="s">
        <v>123</v>
      </c>
      <c r="J103" s="6" t="s">
        <v>123</v>
      </c>
      <c r="K103" s="6" t="s">
        <v>123</v>
      </c>
    </row>
    <row r="104" spans="1:11">
      <c r="C104" s="6" t="s">
        <v>123</v>
      </c>
      <c r="D104" s="6" t="s">
        <v>123</v>
      </c>
      <c r="E104" s="6" t="s">
        <v>123</v>
      </c>
      <c r="F104" s="6" t="s">
        <v>123</v>
      </c>
      <c r="G104" s="6" t="s">
        <v>123</v>
      </c>
      <c r="H104" s="6" t="s">
        <v>123</v>
      </c>
      <c r="I104" s="6" t="s">
        <v>123</v>
      </c>
      <c r="J104" s="6" t="s">
        <v>123</v>
      </c>
      <c r="K104" s="6" t="s">
        <v>123</v>
      </c>
    </row>
    <row r="105" spans="1:11">
      <c r="C105" s="6" t="s">
        <v>123</v>
      </c>
      <c r="D105" s="6" t="s">
        <v>123</v>
      </c>
      <c r="E105" s="6" t="s">
        <v>123</v>
      </c>
      <c r="F105" s="6" t="s">
        <v>123</v>
      </c>
      <c r="G105" s="6" t="s">
        <v>123</v>
      </c>
      <c r="H105" s="6" t="s">
        <v>123</v>
      </c>
      <c r="I105" s="6" t="s">
        <v>123</v>
      </c>
      <c r="J105" s="6" t="s">
        <v>123</v>
      </c>
      <c r="K105" s="6" t="s">
        <v>123</v>
      </c>
    </row>
    <row r="106" spans="1:11">
      <c r="C106" s="6" t="s">
        <v>123</v>
      </c>
      <c r="D106" s="6" t="s">
        <v>123</v>
      </c>
      <c r="E106" s="6" t="s">
        <v>123</v>
      </c>
      <c r="F106" s="6" t="s">
        <v>123</v>
      </c>
      <c r="G106" s="6" t="s">
        <v>123</v>
      </c>
      <c r="H106" s="6" t="s">
        <v>123</v>
      </c>
      <c r="I106" s="6" t="s">
        <v>123</v>
      </c>
      <c r="J106" s="6" t="s">
        <v>123</v>
      </c>
      <c r="K106" s="6" t="s">
        <v>123</v>
      </c>
    </row>
    <row r="107" spans="1:11">
      <c r="C107" s="6" t="s">
        <v>123</v>
      </c>
      <c r="D107" s="6" t="s">
        <v>123</v>
      </c>
      <c r="E107" s="6" t="s">
        <v>123</v>
      </c>
      <c r="F107" s="6" t="s">
        <v>123</v>
      </c>
      <c r="G107" s="6" t="s">
        <v>123</v>
      </c>
      <c r="H107" s="6" t="s">
        <v>123</v>
      </c>
      <c r="I107" s="6" t="s">
        <v>123</v>
      </c>
      <c r="J107" s="6" t="s">
        <v>123</v>
      </c>
      <c r="K107" s="6" t="s">
        <v>123</v>
      </c>
    </row>
    <row r="108" spans="1:11">
      <c r="C108" s="6" t="s">
        <v>123</v>
      </c>
      <c r="D108" s="6" t="s">
        <v>123</v>
      </c>
      <c r="E108" s="6" t="s">
        <v>123</v>
      </c>
      <c r="F108" s="6" t="s">
        <v>123</v>
      </c>
      <c r="G108" s="6" t="s">
        <v>123</v>
      </c>
      <c r="H108" s="6" t="s">
        <v>123</v>
      </c>
      <c r="I108" s="6" t="s">
        <v>123</v>
      </c>
      <c r="J108" s="6" t="s">
        <v>123</v>
      </c>
      <c r="K108" s="6" t="s">
        <v>123</v>
      </c>
    </row>
    <row r="109" spans="1:11">
      <c r="C109" s="6" t="s">
        <v>123</v>
      </c>
      <c r="D109" s="6" t="s">
        <v>123</v>
      </c>
      <c r="E109" s="6" t="s">
        <v>123</v>
      </c>
      <c r="F109" s="6" t="s">
        <v>123</v>
      </c>
      <c r="G109" s="6" t="s">
        <v>123</v>
      </c>
      <c r="H109" s="6" t="s">
        <v>123</v>
      </c>
      <c r="I109" s="6" t="s">
        <v>123</v>
      </c>
      <c r="J109" s="6" t="s">
        <v>123</v>
      </c>
      <c r="K109" s="6" t="s">
        <v>123</v>
      </c>
    </row>
    <row r="110" spans="1:11">
      <c r="C110" s="6" t="s">
        <v>123</v>
      </c>
      <c r="D110" s="6" t="s">
        <v>123</v>
      </c>
      <c r="E110" s="6" t="s">
        <v>123</v>
      </c>
      <c r="F110" s="6" t="s">
        <v>123</v>
      </c>
      <c r="G110" s="6" t="s">
        <v>123</v>
      </c>
      <c r="H110" s="6" t="s">
        <v>123</v>
      </c>
      <c r="I110" s="6" t="s">
        <v>123</v>
      </c>
      <c r="J110" s="6" t="s">
        <v>123</v>
      </c>
      <c r="K110" s="6" t="s">
        <v>123</v>
      </c>
    </row>
    <row r="111" spans="1:11">
      <c r="C111" s="6" t="s">
        <v>123</v>
      </c>
      <c r="D111" s="6" t="s">
        <v>123</v>
      </c>
      <c r="E111" s="6" t="s">
        <v>123</v>
      </c>
      <c r="F111" s="6" t="s">
        <v>123</v>
      </c>
      <c r="G111" s="6" t="s">
        <v>123</v>
      </c>
      <c r="H111" s="6" t="s">
        <v>123</v>
      </c>
      <c r="I111" s="6" t="s">
        <v>123</v>
      </c>
      <c r="J111" s="6" t="s">
        <v>123</v>
      </c>
      <c r="K111" s="6" t="s">
        <v>123</v>
      </c>
    </row>
    <row r="112" spans="1:11">
      <c r="C112" s="6" t="s">
        <v>123</v>
      </c>
      <c r="D112" s="6" t="s">
        <v>123</v>
      </c>
      <c r="E112" s="6" t="s">
        <v>123</v>
      </c>
      <c r="F112" s="6" t="s">
        <v>123</v>
      </c>
      <c r="G112" s="6" t="s">
        <v>123</v>
      </c>
      <c r="H112" s="6" t="s">
        <v>123</v>
      </c>
      <c r="I112" s="6" t="s">
        <v>123</v>
      </c>
      <c r="J112" s="6" t="s">
        <v>123</v>
      </c>
      <c r="K112" s="6" t="s">
        <v>123</v>
      </c>
    </row>
    <row r="113" spans="3:11">
      <c r="C113" s="6" t="s">
        <v>123</v>
      </c>
      <c r="D113" s="6" t="s">
        <v>123</v>
      </c>
      <c r="E113" s="6" t="s">
        <v>123</v>
      </c>
      <c r="F113" s="6" t="s">
        <v>123</v>
      </c>
      <c r="G113" s="6" t="s">
        <v>123</v>
      </c>
      <c r="H113" s="6" t="s">
        <v>123</v>
      </c>
      <c r="I113" s="6" t="s">
        <v>123</v>
      </c>
      <c r="J113" s="6" t="s">
        <v>123</v>
      </c>
      <c r="K113" s="6" t="s">
        <v>123</v>
      </c>
    </row>
    <row r="114" spans="3:11">
      <c r="C114" s="6" t="s">
        <v>123</v>
      </c>
      <c r="D114" s="6" t="s">
        <v>123</v>
      </c>
      <c r="E114" s="6" t="s">
        <v>123</v>
      </c>
      <c r="F114" s="6" t="s">
        <v>123</v>
      </c>
      <c r="G114" s="6" t="s">
        <v>123</v>
      </c>
      <c r="H114" s="6" t="s">
        <v>123</v>
      </c>
      <c r="I114" s="6" t="s">
        <v>123</v>
      </c>
      <c r="J114" s="6" t="s">
        <v>123</v>
      </c>
      <c r="K114" s="6" t="s">
        <v>123</v>
      </c>
    </row>
    <row r="115" spans="3:11">
      <c r="C115" s="6" t="s">
        <v>123</v>
      </c>
      <c r="D115" s="6" t="s">
        <v>123</v>
      </c>
      <c r="E115" s="6" t="s">
        <v>123</v>
      </c>
      <c r="F115" s="6" t="s">
        <v>123</v>
      </c>
      <c r="G115" s="6" t="s">
        <v>123</v>
      </c>
      <c r="H115" s="6" t="s">
        <v>123</v>
      </c>
      <c r="I115" s="6" t="s">
        <v>123</v>
      </c>
      <c r="J115" s="6" t="s">
        <v>123</v>
      </c>
      <c r="K115" s="6" t="s">
        <v>123</v>
      </c>
    </row>
    <row r="116" spans="3:11">
      <c r="C116" s="6" t="s">
        <v>123</v>
      </c>
      <c r="D116" s="6" t="s">
        <v>123</v>
      </c>
      <c r="E116" s="6" t="s">
        <v>123</v>
      </c>
      <c r="F116" s="6" t="s">
        <v>123</v>
      </c>
      <c r="G116" s="6" t="s">
        <v>123</v>
      </c>
      <c r="H116" s="6" t="s">
        <v>123</v>
      </c>
      <c r="I116" s="6" t="s">
        <v>123</v>
      </c>
      <c r="J116" s="6" t="s">
        <v>123</v>
      </c>
      <c r="K116" s="6" t="s">
        <v>123</v>
      </c>
    </row>
    <row r="117" spans="3:11">
      <c r="C117" s="6" t="s">
        <v>123</v>
      </c>
      <c r="D117" s="6" t="s">
        <v>123</v>
      </c>
      <c r="E117" s="6" t="s">
        <v>123</v>
      </c>
      <c r="F117" s="6" t="s">
        <v>123</v>
      </c>
      <c r="G117" s="6" t="s">
        <v>123</v>
      </c>
      <c r="H117" s="6" t="s">
        <v>123</v>
      </c>
      <c r="I117" s="6" t="s">
        <v>123</v>
      </c>
      <c r="J117" s="6" t="s">
        <v>123</v>
      </c>
      <c r="K117" s="6" t="s">
        <v>123</v>
      </c>
    </row>
    <row r="118" spans="3:11">
      <c r="C118" s="6" t="s">
        <v>123</v>
      </c>
      <c r="D118" s="6" t="s">
        <v>123</v>
      </c>
      <c r="E118" s="6" t="s">
        <v>123</v>
      </c>
      <c r="F118" s="6" t="s">
        <v>123</v>
      </c>
      <c r="G118" s="6" t="s">
        <v>123</v>
      </c>
      <c r="H118" s="6" t="s">
        <v>123</v>
      </c>
      <c r="I118" s="6" t="s">
        <v>123</v>
      </c>
      <c r="J118" s="6" t="s">
        <v>123</v>
      </c>
      <c r="K118" s="6" t="s">
        <v>123</v>
      </c>
    </row>
    <row r="119" spans="3:11">
      <c r="C119" s="6" t="s">
        <v>123</v>
      </c>
      <c r="D119" s="6" t="s">
        <v>123</v>
      </c>
      <c r="E119" s="6" t="s">
        <v>123</v>
      </c>
      <c r="F119" s="6" t="s">
        <v>123</v>
      </c>
      <c r="G119" s="6" t="s">
        <v>123</v>
      </c>
      <c r="H119" s="6" t="s">
        <v>123</v>
      </c>
      <c r="I119" s="6" t="s">
        <v>123</v>
      </c>
      <c r="J119" s="6" t="s">
        <v>123</v>
      </c>
      <c r="K119" s="6" t="s">
        <v>123</v>
      </c>
    </row>
    <row r="120" spans="3:11">
      <c r="C120" s="6" t="s">
        <v>123</v>
      </c>
      <c r="D120" s="6" t="s">
        <v>123</v>
      </c>
      <c r="E120" s="6" t="s">
        <v>123</v>
      </c>
      <c r="F120" s="6" t="s">
        <v>123</v>
      </c>
      <c r="G120" s="6" t="s">
        <v>123</v>
      </c>
      <c r="H120" s="6" t="s">
        <v>123</v>
      </c>
      <c r="I120" s="6" t="s">
        <v>123</v>
      </c>
      <c r="J120" s="6" t="s">
        <v>123</v>
      </c>
      <c r="K120" s="6" t="s">
        <v>123</v>
      </c>
    </row>
    <row r="121" spans="3:11">
      <c r="C121" s="6" t="s">
        <v>123</v>
      </c>
      <c r="D121" s="6" t="s">
        <v>123</v>
      </c>
      <c r="E121" s="6" t="s">
        <v>123</v>
      </c>
      <c r="F121" s="6" t="s">
        <v>123</v>
      </c>
      <c r="G121" s="6" t="s">
        <v>123</v>
      </c>
      <c r="H121" s="6" t="s">
        <v>123</v>
      </c>
      <c r="I121" s="6" t="s">
        <v>123</v>
      </c>
      <c r="J121" s="6" t="s">
        <v>123</v>
      </c>
      <c r="K121" s="6" t="s">
        <v>123</v>
      </c>
    </row>
    <row r="122" spans="3:11">
      <c r="C122" s="6" t="s">
        <v>123</v>
      </c>
      <c r="D122" s="6" t="s">
        <v>123</v>
      </c>
      <c r="E122" s="6" t="s">
        <v>123</v>
      </c>
      <c r="F122" s="6" t="s">
        <v>123</v>
      </c>
      <c r="G122" s="6" t="s">
        <v>123</v>
      </c>
      <c r="H122" s="6" t="s">
        <v>123</v>
      </c>
      <c r="I122" s="6" t="s">
        <v>123</v>
      </c>
      <c r="J122" s="6" t="s">
        <v>123</v>
      </c>
      <c r="K122" s="6" t="s">
        <v>123</v>
      </c>
    </row>
    <row r="123" spans="3:11">
      <c r="C123" s="6" t="s">
        <v>123</v>
      </c>
      <c r="D123" s="6" t="s">
        <v>123</v>
      </c>
      <c r="E123" s="6" t="s">
        <v>123</v>
      </c>
      <c r="F123" s="6" t="s">
        <v>123</v>
      </c>
      <c r="G123" s="6" t="s">
        <v>123</v>
      </c>
      <c r="H123" s="6" t="s">
        <v>123</v>
      </c>
      <c r="I123" s="6" t="s">
        <v>123</v>
      </c>
      <c r="J123" s="6" t="s">
        <v>123</v>
      </c>
      <c r="K123" s="6" t="s">
        <v>123</v>
      </c>
    </row>
    <row r="124" spans="3:11">
      <c r="C124" s="6" t="s">
        <v>123</v>
      </c>
      <c r="D124" s="6" t="s">
        <v>123</v>
      </c>
      <c r="E124" s="6" t="s">
        <v>123</v>
      </c>
      <c r="F124" s="6" t="s">
        <v>123</v>
      </c>
      <c r="G124" s="6" t="s">
        <v>123</v>
      </c>
      <c r="H124" s="6" t="s">
        <v>123</v>
      </c>
      <c r="I124" s="6" t="s">
        <v>123</v>
      </c>
      <c r="J124" s="6" t="s">
        <v>123</v>
      </c>
      <c r="K124" s="6" t="s">
        <v>123</v>
      </c>
    </row>
    <row r="125" spans="3:11">
      <c r="C125" s="6" t="s">
        <v>123</v>
      </c>
      <c r="D125" s="6" t="s">
        <v>123</v>
      </c>
      <c r="E125" s="6" t="s">
        <v>123</v>
      </c>
      <c r="F125" s="6" t="s">
        <v>123</v>
      </c>
      <c r="G125" s="6" t="s">
        <v>123</v>
      </c>
      <c r="H125" s="6" t="s">
        <v>123</v>
      </c>
      <c r="I125" s="6" t="s">
        <v>123</v>
      </c>
      <c r="J125" s="6" t="s">
        <v>123</v>
      </c>
      <c r="K125" s="6" t="s">
        <v>123</v>
      </c>
    </row>
    <row r="126" spans="3:11">
      <c r="C126" s="6" t="s">
        <v>123</v>
      </c>
      <c r="D126" s="6" t="s">
        <v>123</v>
      </c>
      <c r="E126" s="6" t="s">
        <v>123</v>
      </c>
      <c r="F126" s="6" t="s">
        <v>123</v>
      </c>
      <c r="G126" s="6" t="s">
        <v>123</v>
      </c>
      <c r="H126" s="6" t="s">
        <v>123</v>
      </c>
      <c r="I126" s="6" t="s">
        <v>123</v>
      </c>
      <c r="J126" s="6" t="s">
        <v>123</v>
      </c>
      <c r="K126" s="6" t="s">
        <v>123</v>
      </c>
    </row>
    <row r="127" spans="3:11">
      <c r="C127" s="6" t="s">
        <v>123</v>
      </c>
      <c r="D127" s="6" t="s">
        <v>123</v>
      </c>
      <c r="E127" s="6" t="s">
        <v>123</v>
      </c>
      <c r="F127" s="6" t="s">
        <v>123</v>
      </c>
      <c r="G127" s="6" t="s">
        <v>123</v>
      </c>
      <c r="H127" s="6" t="s">
        <v>123</v>
      </c>
      <c r="I127" s="6" t="s">
        <v>123</v>
      </c>
      <c r="J127" s="6" t="s">
        <v>123</v>
      </c>
      <c r="K127" s="6" t="s">
        <v>123</v>
      </c>
    </row>
    <row r="128" spans="3:11">
      <c r="C128" s="6" t="s">
        <v>123</v>
      </c>
      <c r="D128" s="6" t="s">
        <v>123</v>
      </c>
      <c r="E128" s="6" t="s">
        <v>123</v>
      </c>
      <c r="F128" s="6" t="s">
        <v>123</v>
      </c>
      <c r="G128" s="6" t="s">
        <v>123</v>
      </c>
      <c r="H128" s="6" t="s">
        <v>123</v>
      </c>
      <c r="I128" s="6" t="s">
        <v>123</v>
      </c>
      <c r="J128" s="6" t="s">
        <v>123</v>
      </c>
      <c r="K128" s="6" t="s">
        <v>123</v>
      </c>
    </row>
    <row r="129" spans="3:11">
      <c r="C129" s="6" t="s">
        <v>123</v>
      </c>
      <c r="D129" s="6" t="s">
        <v>123</v>
      </c>
      <c r="E129" s="6" t="s">
        <v>123</v>
      </c>
      <c r="F129" s="6" t="s">
        <v>123</v>
      </c>
      <c r="G129" s="6" t="s">
        <v>123</v>
      </c>
      <c r="H129" s="6" t="s">
        <v>123</v>
      </c>
      <c r="I129" s="6" t="s">
        <v>123</v>
      </c>
      <c r="J129" s="6" t="s">
        <v>123</v>
      </c>
      <c r="K129" s="6" t="s">
        <v>123</v>
      </c>
    </row>
    <row r="130" spans="3:11">
      <c r="C130" s="6" t="s">
        <v>123</v>
      </c>
      <c r="D130" s="6" t="s">
        <v>123</v>
      </c>
      <c r="E130" s="6" t="s">
        <v>123</v>
      </c>
      <c r="F130" s="6" t="s">
        <v>123</v>
      </c>
      <c r="G130" s="6" t="s">
        <v>123</v>
      </c>
      <c r="H130" s="6" t="s">
        <v>123</v>
      </c>
      <c r="I130" s="6" t="s">
        <v>123</v>
      </c>
      <c r="J130" s="6" t="s">
        <v>123</v>
      </c>
      <c r="K130" s="6" t="s">
        <v>123</v>
      </c>
    </row>
    <row r="131" spans="3:11">
      <c r="C131" s="6" t="s">
        <v>123</v>
      </c>
      <c r="D131" s="6" t="s">
        <v>123</v>
      </c>
      <c r="E131" s="6" t="s">
        <v>123</v>
      </c>
      <c r="F131" s="6" t="s">
        <v>123</v>
      </c>
      <c r="G131" s="6" t="s">
        <v>123</v>
      </c>
      <c r="H131" s="6" t="s">
        <v>123</v>
      </c>
      <c r="I131" s="6" t="s">
        <v>123</v>
      </c>
      <c r="J131" s="6" t="s">
        <v>123</v>
      </c>
      <c r="K131" s="6" t="s">
        <v>123</v>
      </c>
    </row>
    <row r="132" spans="3:11">
      <c r="C132" s="6" t="s">
        <v>123</v>
      </c>
      <c r="D132" s="6" t="s">
        <v>123</v>
      </c>
      <c r="E132" s="6" t="s">
        <v>123</v>
      </c>
      <c r="F132" s="6" t="s">
        <v>123</v>
      </c>
      <c r="G132" s="6" t="s">
        <v>123</v>
      </c>
      <c r="H132" s="6" t="s">
        <v>123</v>
      </c>
      <c r="I132" s="6" t="s">
        <v>123</v>
      </c>
      <c r="J132" s="6" t="s">
        <v>123</v>
      </c>
      <c r="K132" s="6" t="s">
        <v>123</v>
      </c>
    </row>
    <row r="133" spans="3:11">
      <c r="C133" s="6" t="s">
        <v>123</v>
      </c>
      <c r="D133" s="6" t="s">
        <v>123</v>
      </c>
      <c r="E133" s="6" t="s">
        <v>123</v>
      </c>
      <c r="F133" s="6" t="s">
        <v>123</v>
      </c>
      <c r="G133" s="6" t="s">
        <v>123</v>
      </c>
      <c r="H133" s="6" t="s">
        <v>123</v>
      </c>
      <c r="I133" s="6" t="s">
        <v>123</v>
      </c>
      <c r="J133" s="6" t="s">
        <v>123</v>
      </c>
      <c r="K133" s="6" t="s">
        <v>123</v>
      </c>
    </row>
    <row r="134" spans="3:11">
      <c r="C134" s="6" t="s">
        <v>123</v>
      </c>
      <c r="D134" s="6" t="s">
        <v>123</v>
      </c>
      <c r="E134" s="6" t="s">
        <v>123</v>
      </c>
      <c r="F134" s="6" t="s">
        <v>123</v>
      </c>
      <c r="G134" s="6" t="s">
        <v>123</v>
      </c>
      <c r="H134" s="6" t="s">
        <v>123</v>
      </c>
      <c r="I134" s="6" t="s">
        <v>123</v>
      </c>
      <c r="J134" s="6" t="s">
        <v>123</v>
      </c>
      <c r="K134" s="6" t="s">
        <v>123</v>
      </c>
    </row>
    <row r="135" spans="3:11">
      <c r="C135" s="6" t="s">
        <v>123</v>
      </c>
      <c r="D135" s="6" t="s">
        <v>123</v>
      </c>
      <c r="E135" s="6" t="s">
        <v>123</v>
      </c>
      <c r="F135" s="6" t="s">
        <v>123</v>
      </c>
      <c r="G135" s="6" t="s">
        <v>123</v>
      </c>
      <c r="H135" s="6" t="s">
        <v>123</v>
      </c>
      <c r="I135" s="6" t="s">
        <v>123</v>
      </c>
      <c r="J135" s="6" t="s">
        <v>123</v>
      </c>
      <c r="K135" s="6" t="s">
        <v>123</v>
      </c>
    </row>
    <row r="136" spans="3:11">
      <c r="C136" s="6" t="s">
        <v>123</v>
      </c>
      <c r="D136" s="6" t="s">
        <v>123</v>
      </c>
      <c r="E136" s="6" t="s">
        <v>123</v>
      </c>
      <c r="F136" s="6" t="s">
        <v>123</v>
      </c>
      <c r="G136" s="6" t="s">
        <v>123</v>
      </c>
      <c r="H136" s="6" t="s">
        <v>123</v>
      </c>
      <c r="I136" s="6" t="s">
        <v>123</v>
      </c>
      <c r="J136" s="6" t="s">
        <v>123</v>
      </c>
      <c r="K136" s="6" t="s">
        <v>123</v>
      </c>
    </row>
    <row r="137" spans="3:11">
      <c r="C137" s="6" t="s">
        <v>123</v>
      </c>
      <c r="D137" s="6" t="s">
        <v>123</v>
      </c>
      <c r="E137" s="6" t="s">
        <v>123</v>
      </c>
      <c r="F137" s="6" t="s">
        <v>123</v>
      </c>
      <c r="G137" s="6" t="s">
        <v>123</v>
      </c>
      <c r="H137" s="6" t="s">
        <v>123</v>
      </c>
      <c r="I137" s="6" t="s">
        <v>123</v>
      </c>
      <c r="J137" s="6" t="s">
        <v>123</v>
      </c>
      <c r="K137" s="6" t="s">
        <v>123</v>
      </c>
    </row>
    <row r="138" spans="3:11">
      <c r="C138" s="6" t="s">
        <v>123</v>
      </c>
      <c r="D138" s="6" t="s">
        <v>123</v>
      </c>
      <c r="E138" s="6" t="s">
        <v>123</v>
      </c>
      <c r="F138" s="6" t="s">
        <v>123</v>
      </c>
      <c r="G138" s="6" t="s">
        <v>123</v>
      </c>
      <c r="H138" s="6" t="s">
        <v>123</v>
      </c>
      <c r="I138" s="6" t="s">
        <v>123</v>
      </c>
      <c r="J138" s="6" t="s">
        <v>123</v>
      </c>
      <c r="K138" s="6" t="s">
        <v>123</v>
      </c>
    </row>
    <row r="139" spans="3:11">
      <c r="C139" s="6" t="s">
        <v>123</v>
      </c>
      <c r="D139" s="6" t="s">
        <v>123</v>
      </c>
      <c r="E139" s="6" t="s">
        <v>123</v>
      </c>
      <c r="F139" s="6" t="s">
        <v>123</v>
      </c>
      <c r="G139" s="6" t="s">
        <v>123</v>
      </c>
      <c r="H139" s="6" t="s">
        <v>123</v>
      </c>
      <c r="I139" s="6" t="s">
        <v>123</v>
      </c>
      <c r="J139" s="6" t="s">
        <v>123</v>
      </c>
      <c r="K139" s="6" t="s">
        <v>123</v>
      </c>
    </row>
    <row r="140" spans="3:11">
      <c r="C140" s="6" t="s">
        <v>123</v>
      </c>
      <c r="D140" s="6" t="s">
        <v>123</v>
      </c>
      <c r="E140" s="6" t="s">
        <v>123</v>
      </c>
      <c r="F140" s="6" t="s">
        <v>123</v>
      </c>
      <c r="G140" s="6" t="s">
        <v>123</v>
      </c>
      <c r="H140" s="6" t="s">
        <v>123</v>
      </c>
      <c r="I140" s="6" t="s">
        <v>123</v>
      </c>
      <c r="J140" s="6" t="s">
        <v>123</v>
      </c>
      <c r="K140" s="6" t="s">
        <v>123</v>
      </c>
    </row>
    <row r="141" spans="3:11">
      <c r="C141" s="6" t="s">
        <v>123</v>
      </c>
      <c r="D141" s="6" t="s">
        <v>123</v>
      </c>
      <c r="E141" s="6" t="s">
        <v>123</v>
      </c>
      <c r="F141" s="6" t="s">
        <v>123</v>
      </c>
      <c r="G141" s="6" t="s">
        <v>123</v>
      </c>
      <c r="H141" s="6" t="s">
        <v>123</v>
      </c>
      <c r="I141" s="6" t="s">
        <v>123</v>
      </c>
      <c r="J141" s="6" t="s">
        <v>123</v>
      </c>
      <c r="K141" s="6" t="s">
        <v>123</v>
      </c>
    </row>
    <row r="142" spans="3:11">
      <c r="C142" s="6" t="s">
        <v>123</v>
      </c>
      <c r="D142" s="6" t="s">
        <v>123</v>
      </c>
      <c r="E142" s="6" t="s">
        <v>123</v>
      </c>
      <c r="F142" s="6" t="s">
        <v>123</v>
      </c>
      <c r="G142" s="6" t="s">
        <v>123</v>
      </c>
      <c r="H142" s="6" t="s">
        <v>123</v>
      </c>
      <c r="I142" s="6" t="s">
        <v>123</v>
      </c>
      <c r="J142" s="6" t="s">
        <v>123</v>
      </c>
      <c r="K142" s="6" t="s">
        <v>123</v>
      </c>
    </row>
    <row r="143" spans="3:11">
      <c r="C143" s="6" t="s">
        <v>123</v>
      </c>
      <c r="D143" s="6" t="s">
        <v>123</v>
      </c>
      <c r="E143" s="6" t="s">
        <v>123</v>
      </c>
      <c r="F143" s="6" t="s">
        <v>123</v>
      </c>
      <c r="G143" s="6" t="s">
        <v>123</v>
      </c>
      <c r="H143" s="6" t="s">
        <v>123</v>
      </c>
      <c r="I143" s="6" t="s">
        <v>123</v>
      </c>
      <c r="J143" s="6" t="s">
        <v>123</v>
      </c>
      <c r="K143" s="6" t="s">
        <v>123</v>
      </c>
    </row>
    <row r="144" spans="3:11">
      <c r="C144" s="6" t="s">
        <v>123</v>
      </c>
      <c r="D144" s="6" t="s">
        <v>123</v>
      </c>
      <c r="E144" s="6" t="s">
        <v>123</v>
      </c>
      <c r="F144" s="6" t="s">
        <v>123</v>
      </c>
      <c r="G144" s="6" t="s">
        <v>123</v>
      </c>
      <c r="H144" s="6" t="s">
        <v>123</v>
      </c>
      <c r="I144" s="6" t="s">
        <v>123</v>
      </c>
      <c r="J144" s="6" t="s">
        <v>123</v>
      </c>
      <c r="K144" s="6" t="s">
        <v>123</v>
      </c>
    </row>
    <row r="145" spans="3:11">
      <c r="C145" s="6" t="s">
        <v>123</v>
      </c>
      <c r="D145" s="6" t="s">
        <v>123</v>
      </c>
      <c r="E145" s="6" t="s">
        <v>123</v>
      </c>
      <c r="F145" s="6" t="s">
        <v>123</v>
      </c>
      <c r="G145" s="6" t="s">
        <v>123</v>
      </c>
      <c r="H145" s="6" t="s">
        <v>123</v>
      </c>
      <c r="I145" s="6" t="s">
        <v>123</v>
      </c>
      <c r="J145" s="6" t="s">
        <v>123</v>
      </c>
      <c r="K145" s="6" t="s">
        <v>123</v>
      </c>
    </row>
    <row r="146" spans="3:11">
      <c r="C146" s="6" t="s">
        <v>123</v>
      </c>
      <c r="D146" s="6" t="s">
        <v>123</v>
      </c>
      <c r="E146" s="6" t="s">
        <v>123</v>
      </c>
      <c r="F146" s="6" t="s">
        <v>123</v>
      </c>
      <c r="G146" s="6" t="s">
        <v>123</v>
      </c>
      <c r="H146" s="6" t="s">
        <v>123</v>
      </c>
      <c r="I146" s="6" t="s">
        <v>123</v>
      </c>
      <c r="J146" s="6" t="s">
        <v>123</v>
      </c>
      <c r="K146" s="6" t="s">
        <v>123</v>
      </c>
    </row>
    <row r="147" spans="3:11">
      <c r="C147" s="6" t="s">
        <v>123</v>
      </c>
      <c r="D147" s="6" t="s">
        <v>123</v>
      </c>
      <c r="E147" s="6" t="s">
        <v>123</v>
      </c>
      <c r="F147" s="6" t="s">
        <v>123</v>
      </c>
      <c r="G147" s="6" t="s">
        <v>123</v>
      </c>
      <c r="H147" s="6" t="s">
        <v>123</v>
      </c>
      <c r="I147" s="6" t="s">
        <v>123</v>
      </c>
      <c r="J147" s="6" t="s">
        <v>123</v>
      </c>
      <c r="K147" s="6" t="s">
        <v>123</v>
      </c>
    </row>
    <row r="148" spans="3:11">
      <c r="C148" s="6" t="s">
        <v>123</v>
      </c>
      <c r="D148" s="6" t="s">
        <v>123</v>
      </c>
      <c r="E148" s="6" t="s">
        <v>123</v>
      </c>
      <c r="F148" s="6" t="s">
        <v>123</v>
      </c>
      <c r="G148" s="6" t="s">
        <v>123</v>
      </c>
      <c r="H148" s="6" t="s">
        <v>123</v>
      </c>
      <c r="I148" s="6" t="s">
        <v>123</v>
      </c>
      <c r="J148" s="6" t="s">
        <v>123</v>
      </c>
      <c r="K148" s="6" t="s">
        <v>123</v>
      </c>
    </row>
    <row r="149" spans="3:11">
      <c r="C149" s="6" t="s">
        <v>123</v>
      </c>
      <c r="D149" s="6" t="s">
        <v>123</v>
      </c>
      <c r="E149" s="6" t="s">
        <v>123</v>
      </c>
      <c r="F149" s="6" t="s">
        <v>123</v>
      </c>
      <c r="G149" s="6" t="s">
        <v>123</v>
      </c>
      <c r="H149" s="6" t="s">
        <v>123</v>
      </c>
      <c r="I149" s="6" t="s">
        <v>123</v>
      </c>
      <c r="J149" s="6" t="s">
        <v>123</v>
      </c>
      <c r="K149" s="6" t="s">
        <v>123</v>
      </c>
    </row>
    <row r="150" spans="3:11">
      <c r="C150" s="6" t="s">
        <v>123</v>
      </c>
      <c r="D150" s="6" t="s">
        <v>123</v>
      </c>
      <c r="E150" s="6" t="s">
        <v>123</v>
      </c>
      <c r="F150" s="6" t="s">
        <v>123</v>
      </c>
      <c r="G150" s="6" t="s">
        <v>123</v>
      </c>
      <c r="H150" s="6" t="s">
        <v>123</v>
      </c>
      <c r="I150" s="6" t="s">
        <v>123</v>
      </c>
      <c r="J150" s="6" t="s">
        <v>123</v>
      </c>
      <c r="K150" s="6" t="s">
        <v>123</v>
      </c>
    </row>
    <row r="151" spans="3:11">
      <c r="C151" s="6" t="s">
        <v>123</v>
      </c>
      <c r="D151" s="6" t="s">
        <v>123</v>
      </c>
      <c r="E151" s="6" t="s">
        <v>123</v>
      </c>
      <c r="F151" s="6" t="s">
        <v>123</v>
      </c>
      <c r="G151" s="6" t="s">
        <v>123</v>
      </c>
      <c r="H151" s="6" t="s">
        <v>123</v>
      </c>
      <c r="I151" s="6" t="s">
        <v>123</v>
      </c>
      <c r="J151" s="6" t="s">
        <v>123</v>
      </c>
      <c r="K151" s="6" t="s">
        <v>123</v>
      </c>
    </row>
    <row r="152" spans="3:11">
      <c r="C152" s="6" t="s">
        <v>123</v>
      </c>
      <c r="D152" s="6" t="s">
        <v>123</v>
      </c>
      <c r="E152" s="6" t="s">
        <v>123</v>
      </c>
      <c r="F152" s="6" t="s">
        <v>123</v>
      </c>
      <c r="G152" s="6" t="s">
        <v>123</v>
      </c>
      <c r="H152" s="6" t="s">
        <v>123</v>
      </c>
      <c r="I152" s="6" t="s">
        <v>123</v>
      </c>
      <c r="J152" s="6" t="s">
        <v>123</v>
      </c>
      <c r="K152" s="6" t="s">
        <v>123</v>
      </c>
    </row>
    <row r="153" spans="3:11">
      <c r="C153" s="6" t="s">
        <v>123</v>
      </c>
      <c r="D153" s="6" t="s">
        <v>123</v>
      </c>
      <c r="E153" s="6" t="s">
        <v>123</v>
      </c>
      <c r="F153" s="6" t="s">
        <v>123</v>
      </c>
      <c r="G153" s="6" t="s">
        <v>123</v>
      </c>
      <c r="H153" s="6" t="s">
        <v>123</v>
      </c>
      <c r="I153" s="6" t="s">
        <v>123</v>
      </c>
      <c r="J153" s="6" t="s">
        <v>123</v>
      </c>
      <c r="K153" s="6" t="s">
        <v>123</v>
      </c>
    </row>
    <row r="154" spans="3:11">
      <c r="C154" s="6" t="s">
        <v>123</v>
      </c>
      <c r="D154" s="6" t="s">
        <v>123</v>
      </c>
      <c r="E154" s="6" t="s">
        <v>123</v>
      </c>
      <c r="F154" s="6" t="s">
        <v>123</v>
      </c>
      <c r="G154" s="6" t="s">
        <v>123</v>
      </c>
      <c r="H154" s="6" t="s">
        <v>123</v>
      </c>
      <c r="I154" s="6" t="s">
        <v>123</v>
      </c>
      <c r="J154" s="6" t="s">
        <v>123</v>
      </c>
      <c r="K154" s="6" t="s">
        <v>123</v>
      </c>
    </row>
    <row r="155" spans="3:11">
      <c r="C155" s="6" t="s">
        <v>123</v>
      </c>
      <c r="D155" s="6" t="s">
        <v>123</v>
      </c>
      <c r="E155" s="6" t="s">
        <v>123</v>
      </c>
      <c r="F155" s="6" t="s">
        <v>123</v>
      </c>
      <c r="G155" s="6" t="s">
        <v>123</v>
      </c>
      <c r="H155" s="6" t="s">
        <v>123</v>
      </c>
      <c r="I155" s="6" t="s">
        <v>123</v>
      </c>
      <c r="J155" s="6" t="s">
        <v>123</v>
      </c>
      <c r="K155" s="6" t="s">
        <v>123</v>
      </c>
    </row>
    <row r="156" spans="3:11">
      <c r="C156" s="6" t="s">
        <v>123</v>
      </c>
      <c r="D156" s="6" t="s">
        <v>123</v>
      </c>
      <c r="E156" s="6" t="s">
        <v>123</v>
      </c>
      <c r="F156" s="6" t="s">
        <v>123</v>
      </c>
      <c r="G156" s="6" t="s">
        <v>123</v>
      </c>
      <c r="H156" s="6" t="s">
        <v>123</v>
      </c>
      <c r="I156" s="6" t="s">
        <v>123</v>
      </c>
      <c r="J156" s="6" t="s">
        <v>123</v>
      </c>
      <c r="K156" s="6" t="s">
        <v>123</v>
      </c>
    </row>
    <row r="157" spans="3:11">
      <c r="C157" s="6" t="s">
        <v>123</v>
      </c>
      <c r="D157" s="6" t="s">
        <v>123</v>
      </c>
      <c r="E157" s="6" t="s">
        <v>123</v>
      </c>
      <c r="F157" s="6" t="s">
        <v>123</v>
      </c>
      <c r="G157" s="6" t="s">
        <v>123</v>
      </c>
      <c r="H157" s="6" t="s">
        <v>123</v>
      </c>
      <c r="I157" s="6" t="s">
        <v>123</v>
      </c>
      <c r="J157" s="6" t="s">
        <v>123</v>
      </c>
      <c r="K157" s="6" t="s">
        <v>123</v>
      </c>
    </row>
    <row r="158" spans="3:11">
      <c r="C158" s="6" t="s">
        <v>123</v>
      </c>
      <c r="D158" s="6" t="s">
        <v>123</v>
      </c>
      <c r="E158" s="6" t="s">
        <v>123</v>
      </c>
      <c r="F158" s="6" t="s">
        <v>123</v>
      </c>
      <c r="G158" s="6" t="s">
        <v>123</v>
      </c>
      <c r="H158" s="6" t="s">
        <v>123</v>
      </c>
      <c r="I158" s="6" t="s">
        <v>123</v>
      </c>
      <c r="J158" s="6" t="s">
        <v>123</v>
      </c>
      <c r="K158" s="6" t="s">
        <v>123</v>
      </c>
    </row>
    <row r="159" spans="3:11">
      <c r="C159" s="6" t="s">
        <v>123</v>
      </c>
      <c r="D159" s="6" t="s">
        <v>123</v>
      </c>
      <c r="E159" s="6" t="s">
        <v>123</v>
      </c>
      <c r="F159" s="6" t="s">
        <v>123</v>
      </c>
      <c r="G159" s="6" t="s">
        <v>123</v>
      </c>
      <c r="H159" s="6" t="s">
        <v>123</v>
      </c>
      <c r="I159" s="6" t="s">
        <v>123</v>
      </c>
      <c r="J159" s="6" t="s">
        <v>123</v>
      </c>
      <c r="K159" s="6" t="s">
        <v>123</v>
      </c>
    </row>
    <row r="160" spans="3:11">
      <c r="C160" s="6" t="s">
        <v>123</v>
      </c>
      <c r="D160" s="6" t="s">
        <v>123</v>
      </c>
      <c r="E160" s="6" t="s">
        <v>123</v>
      </c>
      <c r="F160" s="6" t="s">
        <v>123</v>
      </c>
      <c r="G160" s="6" t="s">
        <v>123</v>
      </c>
      <c r="H160" s="6" t="s">
        <v>123</v>
      </c>
      <c r="I160" s="6" t="s">
        <v>123</v>
      </c>
      <c r="J160" s="6" t="s">
        <v>123</v>
      </c>
      <c r="K160" s="6" t="s">
        <v>123</v>
      </c>
    </row>
    <row r="161" spans="3:11">
      <c r="C161" s="6" t="s">
        <v>123</v>
      </c>
      <c r="D161" s="6" t="s">
        <v>123</v>
      </c>
      <c r="E161" s="6" t="s">
        <v>123</v>
      </c>
      <c r="F161" s="6" t="s">
        <v>123</v>
      </c>
      <c r="G161" s="6" t="s">
        <v>123</v>
      </c>
      <c r="H161" s="6" t="s">
        <v>123</v>
      </c>
      <c r="I161" s="6" t="s">
        <v>123</v>
      </c>
      <c r="J161" s="6" t="s">
        <v>123</v>
      </c>
      <c r="K161" s="6" t="s">
        <v>123</v>
      </c>
    </row>
    <row r="162" spans="3:11">
      <c r="C162" s="6" t="s">
        <v>123</v>
      </c>
      <c r="D162" s="6" t="s">
        <v>123</v>
      </c>
      <c r="E162" s="6" t="s">
        <v>123</v>
      </c>
      <c r="F162" s="6" t="s">
        <v>123</v>
      </c>
      <c r="G162" s="6" t="s">
        <v>123</v>
      </c>
      <c r="H162" s="6" t="s">
        <v>123</v>
      </c>
      <c r="I162" s="6" t="s">
        <v>123</v>
      </c>
      <c r="J162" s="6" t="s">
        <v>123</v>
      </c>
      <c r="K162" s="6" t="s">
        <v>123</v>
      </c>
    </row>
    <row r="163" spans="3:11">
      <c r="C163" s="6" t="s">
        <v>123</v>
      </c>
      <c r="D163" s="6" t="s">
        <v>123</v>
      </c>
      <c r="E163" s="6" t="s">
        <v>123</v>
      </c>
      <c r="F163" s="6" t="s">
        <v>123</v>
      </c>
      <c r="G163" s="6" t="s">
        <v>123</v>
      </c>
      <c r="H163" s="6" t="s">
        <v>123</v>
      </c>
      <c r="I163" s="6" t="s">
        <v>123</v>
      </c>
      <c r="J163" s="6" t="s">
        <v>123</v>
      </c>
      <c r="K163" s="6" t="s">
        <v>123</v>
      </c>
    </row>
    <row r="164" spans="3:11">
      <c r="C164" s="6" t="s">
        <v>123</v>
      </c>
      <c r="D164" s="6" t="s">
        <v>123</v>
      </c>
      <c r="E164" s="6" t="s">
        <v>123</v>
      </c>
      <c r="F164" s="6" t="s">
        <v>123</v>
      </c>
      <c r="G164" s="6" t="s">
        <v>123</v>
      </c>
      <c r="H164" s="6" t="s">
        <v>123</v>
      </c>
      <c r="I164" s="6" t="s">
        <v>123</v>
      </c>
      <c r="J164" s="6" t="s">
        <v>123</v>
      </c>
      <c r="K164" s="6" t="s">
        <v>123</v>
      </c>
    </row>
    <row r="165" spans="3:11">
      <c r="C165" s="6" t="s">
        <v>123</v>
      </c>
      <c r="D165" s="6" t="s">
        <v>123</v>
      </c>
      <c r="E165" s="6" t="s">
        <v>123</v>
      </c>
      <c r="F165" s="6" t="s">
        <v>123</v>
      </c>
      <c r="G165" s="6" t="s">
        <v>123</v>
      </c>
      <c r="H165" s="6" t="s">
        <v>123</v>
      </c>
      <c r="I165" s="6" t="s">
        <v>123</v>
      </c>
      <c r="J165" s="6" t="s">
        <v>123</v>
      </c>
      <c r="K165" s="6" t="s">
        <v>123</v>
      </c>
    </row>
  </sheetData>
  <conditionalFormatting sqref="A2:P100">
    <cfRule type="expression" dxfId="13" priority="1">
      <formula>ISNUMBER(SEARCH("text",$B2))</formula>
    </cfRule>
    <cfRule type="expression" dxfId="12" priority="2">
      <formula>ISNUMBER(SEARCH("title",$B2))</formula>
    </cfRule>
    <cfRule type="expression" dxfId="11" priority="3">
      <formula>ISNUMBER(SEARCH("hero",$B2))</formula>
    </cfRule>
    <cfRule type="expression" dxfId="10" priority="4">
      <formula>ISNUMBER(SEARCH("card",$B2))</formula>
    </cfRule>
    <cfRule type="expression" dxfId="9" priority="5">
      <formula>ISNUMBER(SEARCH("carousel",$B2))</formula>
    </cfRule>
    <cfRule type="expression" dxfId="8" priority="6">
      <formula>ISNUMBER(SEARCH("video",$B2))</formula>
    </cfRule>
    <cfRule type="expression" dxfId="7" priority="7">
      <formula>ISNUMBER(SEARCH("image",$B2))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AE4D57DB-D420-457D-807E-61E7F79872EE}">
          <x14:formula1>
            <xm:f>_helper!$A$1:$A$15</xm:f>
          </x14:formula1>
          <xm:sqref>B2:B100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4ED04-88E6-4270-B7F6-4E9A515B69D3}">
  <dimension ref="A1:P126"/>
  <sheetViews>
    <sheetView tabSelected="1" workbookViewId="0">
      <pane ySplit="1" topLeftCell="A2" activePane="bottomLeft" state="frozen"/>
      <selection pane="bottomLeft" activeCell="D26" sqref="D26"/>
    </sheetView>
  </sheetViews>
  <sheetFormatPr defaultRowHeight="14.25"/>
  <cols>
    <col min="1" max="1" width="3.875" bestFit="1" customWidth="1"/>
    <col min="2" max="8" width="24" customWidth="1"/>
    <col min="9" max="10" width="40" customWidth="1"/>
    <col min="11" max="16" width="24" customWidth="1"/>
  </cols>
  <sheetData>
    <row r="1" spans="1:16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4"/>
    </row>
    <row r="2" spans="1:16">
      <c r="A2" s="6">
        <v>1</v>
      </c>
      <c r="B2" s="6" t="s">
        <v>15</v>
      </c>
      <c r="C2" s="6">
        <v>0</v>
      </c>
      <c r="D2" s="6">
        <v>0</v>
      </c>
      <c r="E2" s="6" t="s">
        <v>15</v>
      </c>
      <c r="F2" s="6" t="s">
        <v>15</v>
      </c>
      <c r="G2" s="6">
        <v>0</v>
      </c>
      <c r="H2" s="6">
        <v>0</v>
      </c>
      <c r="I2" s="6" t="s">
        <v>17</v>
      </c>
      <c r="J2" s="6" t="s">
        <v>18</v>
      </c>
      <c r="K2" s="6">
        <v>0</v>
      </c>
      <c r="L2" s="6"/>
      <c r="M2" s="6"/>
      <c r="N2" s="6"/>
      <c r="O2" s="6"/>
    </row>
    <row r="3" spans="1:16" ht="15">
      <c r="A3" s="6">
        <v>42</v>
      </c>
      <c r="B3" s="6" t="s">
        <v>21</v>
      </c>
      <c r="C3" s="6" t="s">
        <v>125</v>
      </c>
      <c r="D3" s="6" t="s">
        <v>125</v>
      </c>
      <c r="E3" s="6" t="s">
        <v>123</v>
      </c>
      <c r="F3" s="6" t="s">
        <v>123</v>
      </c>
      <c r="G3" s="6" t="s">
        <v>123</v>
      </c>
      <c r="H3" s="6" t="s">
        <v>123</v>
      </c>
      <c r="I3" s="6" t="s">
        <v>123</v>
      </c>
      <c r="J3" s="6" t="s">
        <v>123</v>
      </c>
      <c r="K3" s="6" t="s">
        <v>123</v>
      </c>
      <c r="L3" s="6"/>
      <c r="M3" s="6"/>
      <c r="N3" s="6"/>
      <c r="O3" s="6"/>
    </row>
    <row r="4" spans="1:16">
      <c r="A4" s="6">
        <v>43</v>
      </c>
      <c r="B4" s="6" t="s">
        <v>27</v>
      </c>
      <c r="C4" t="s">
        <v>126</v>
      </c>
      <c r="D4" t="s">
        <v>126</v>
      </c>
      <c r="E4" s="6" t="s">
        <v>123</v>
      </c>
      <c r="F4" s="6" t="s">
        <v>123</v>
      </c>
      <c r="G4" s="6" t="s">
        <v>123</v>
      </c>
      <c r="H4" s="6" t="s">
        <v>123</v>
      </c>
      <c r="I4" s="6" t="s">
        <v>123</v>
      </c>
      <c r="J4" s="6" t="s">
        <v>123</v>
      </c>
      <c r="K4" s="6" t="s">
        <v>123</v>
      </c>
      <c r="L4" s="6"/>
      <c r="M4" s="6"/>
      <c r="N4" s="6"/>
      <c r="O4" s="6"/>
    </row>
    <row r="5" spans="1:16">
      <c r="A5" s="6">
        <v>44</v>
      </c>
      <c r="B5" s="6" t="s">
        <v>68</v>
      </c>
      <c r="C5" t="s">
        <v>127</v>
      </c>
      <c r="D5" t="s">
        <v>127</v>
      </c>
      <c r="E5" s="6" t="s">
        <v>123</v>
      </c>
      <c r="F5" s="6" t="s">
        <v>123</v>
      </c>
      <c r="G5" s="6" t="s">
        <v>123</v>
      </c>
      <c r="H5" s="6" t="s">
        <v>123</v>
      </c>
      <c r="I5" s="6" t="s">
        <v>123</v>
      </c>
      <c r="J5" s="6" t="s">
        <v>123</v>
      </c>
      <c r="K5" s="6" t="s">
        <v>123</v>
      </c>
      <c r="L5" s="6"/>
      <c r="M5" s="6"/>
      <c r="N5" s="6"/>
      <c r="O5" s="6"/>
    </row>
    <row r="6" spans="1:16">
      <c r="A6" s="6">
        <v>45</v>
      </c>
      <c r="B6" s="6" t="s">
        <v>68</v>
      </c>
      <c r="C6" t="s">
        <v>128</v>
      </c>
      <c r="D6" t="s">
        <v>128</v>
      </c>
      <c r="E6" s="6" t="s">
        <v>123</v>
      </c>
      <c r="F6" s="6" t="s">
        <v>123</v>
      </c>
      <c r="G6" s="6" t="s">
        <v>123</v>
      </c>
      <c r="H6" s="6" t="s">
        <v>123</v>
      </c>
      <c r="I6" s="6" t="s">
        <v>123</v>
      </c>
      <c r="J6" s="6" t="s">
        <v>123</v>
      </c>
      <c r="K6" s="6" t="s">
        <v>123</v>
      </c>
      <c r="L6" s="6"/>
      <c r="M6" s="6"/>
      <c r="N6" s="6"/>
      <c r="O6" s="6"/>
    </row>
    <row r="7" spans="1:16">
      <c r="A7" s="6">
        <v>46</v>
      </c>
      <c r="B7" s="6" t="s">
        <v>68</v>
      </c>
      <c r="C7" t="s">
        <v>129</v>
      </c>
      <c r="D7" t="s">
        <v>129</v>
      </c>
      <c r="E7" s="6" t="s">
        <v>123</v>
      </c>
      <c r="F7" s="6" t="s">
        <v>123</v>
      </c>
      <c r="G7" s="6" t="s">
        <v>123</v>
      </c>
      <c r="H7" s="6" t="s">
        <v>123</v>
      </c>
      <c r="I7" s="6" t="s">
        <v>123</v>
      </c>
      <c r="J7" s="6" t="s">
        <v>123</v>
      </c>
      <c r="K7" s="6" t="s">
        <v>123</v>
      </c>
      <c r="L7" s="6"/>
      <c r="M7" s="6"/>
      <c r="N7" s="6"/>
      <c r="O7" s="6"/>
    </row>
    <row r="8" spans="1:16">
      <c r="A8" s="6">
        <v>47</v>
      </c>
      <c r="B8" s="6" t="s">
        <v>27</v>
      </c>
      <c r="C8" t="s">
        <v>133</v>
      </c>
      <c r="D8" t="s">
        <v>133</v>
      </c>
      <c r="E8" s="6" t="s">
        <v>123</v>
      </c>
      <c r="F8" s="6" t="s">
        <v>123</v>
      </c>
      <c r="G8" s="6" t="s">
        <v>123</v>
      </c>
      <c r="H8" s="6" t="s">
        <v>123</v>
      </c>
      <c r="I8" s="6" t="s">
        <v>123</v>
      </c>
      <c r="J8" s="6" t="s">
        <v>123</v>
      </c>
      <c r="K8" s="6" t="s">
        <v>123</v>
      </c>
      <c r="L8" s="6"/>
      <c r="M8" s="6"/>
      <c r="N8" s="6"/>
      <c r="O8" s="6"/>
    </row>
    <row r="9" spans="1:16">
      <c r="A9" s="6">
        <v>48</v>
      </c>
      <c r="B9" s="6" t="s">
        <v>68</v>
      </c>
      <c r="C9" t="s">
        <v>130</v>
      </c>
      <c r="D9" t="s">
        <v>130</v>
      </c>
      <c r="E9" s="6" t="s">
        <v>123</v>
      </c>
      <c r="F9" s="6" t="s">
        <v>123</v>
      </c>
      <c r="G9" s="6" t="s">
        <v>123</v>
      </c>
      <c r="H9" s="6" t="s">
        <v>123</v>
      </c>
      <c r="I9" s="6" t="s">
        <v>123</v>
      </c>
      <c r="J9" s="6" t="s">
        <v>123</v>
      </c>
      <c r="K9" s="6" t="s">
        <v>123</v>
      </c>
      <c r="L9" s="6"/>
      <c r="M9" s="6"/>
      <c r="N9" s="6"/>
      <c r="O9" s="6"/>
    </row>
    <row r="10" spans="1:16">
      <c r="A10" s="6">
        <v>49</v>
      </c>
      <c r="B10" s="6" t="s">
        <v>68</v>
      </c>
      <c r="C10" t="s">
        <v>131</v>
      </c>
      <c r="D10" t="s">
        <v>131</v>
      </c>
      <c r="E10" s="6" t="s">
        <v>123</v>
      </c>
      <c r="F10" s="6" t="s">
        <v>123</v>
      </c>
      <c r="G10" s="6" t="s">
        <v>123</v>
      </c>
      <c r="H10" s="6" t="s">
        <v>123</v>
      </c>
      <c r="I10" s="6" t="s">
        <v>123</v>
      </c>
      <c r="J10" s="6" t="s">
        <v>123</v>
      </c>
      <c r="K10" s="6" t="s">
        <v>123</v>
      </c>
      <c r="L10" s="6"/>
      <c r="M10" s="6"/>
      <c r="N10" s="6"/>
      <c r="O10" s="6"/>
    </row>
    <row r="11" spans="1:16">
      <c r="A11" s="6">
        <v>50</v>
      </c>
      <c r="B11" s="6" t="s">
        <v>68</v>
      </c>
      <c r="C11" t="s">
        <v>132</v>
      </c>
      <c r="D11" t="s">
        <v>132</v>
      </c>
      <c r="E11" s="6" t="s">
        <v>123</v>
      </c>
      <c r="F11" s="6" t="s">
        <v>123</v>
      </c>
      <c r="G11" s="6" t="s">
        <v>123</v>
      </c>
      <c r="H11" s="6" t="s">
        <v>123</v>
      </c>
      <c r="I11" s="6" t="s">
        <v>123</v>
      </c>
      <c r="J11" s="6" t="s">
        <v>123</v>
      </c>
      <c r="K11" s="6" t="s">
        <v>123</v>
      </c>
      <c r="L11" s="6"/>
      <c r="M11" s="6"/>
      <c r="N11" s="6"/>
      <c r="O11" s="6"/>
    </row>
    <row r="12" spans="1:16">
      <c r="A12" s="6">
        <v>51</v>
      </c>
      <c r="B12" s="6"/>
      <c r="C12" t="s">
        <v>123</v>
      </c>
      <c r="D12" t="s">
        <v>123</v>
      </c>
      <c r="E12" s="6" t="s">
        <v>123</v>
      </c>
      <c r="F12" s="6" t="s">
        <v>123</v>
      </c>
      <c r="G12" s="6" t="s">
        <v>123</v>
      </c>
      <c r="H12" s="6" t="s">
        <v>123</v>
      </c>
      <c r="I12" s="6" t="s">
        <v>123</v>
      </c>
      <c r="J12" s="6" t="s">
        <v>123</v>
      </c>
      <c r="K12" s="6" t="s">
        <v>123</v>
      </c>
      <c r="L12" s="6"/>
      <c r="M12" s="6"/>
      <c r="N12" s="6"/>
      <c r="O12" s="6"/>
    </row>
    <row r="13" spans="1:16">
      <c r="A13" s="6">
        <v>52</v>
      </c>
      <c r="B13" s="6"/>
      <c r="C13" s="6" t="s">
        <v>123</v>
      </c>
      <c r="D13" s="6" t="s">
        <v>123</v>
      </c>
      <c r="E13" s="6" t="s">
        <v>123</v>
      </c>
      <c r="F13" s="6" t="s">
        <v>123</v>
      </c>
      <c r="G13" s="6" t="s">
        <v>123</v>
      </c>
      <c r="H13" s="6" t="s">
        <v>123</v>
      </c>
      <c r="I13" s="6" t="s">
        <v>123</v>
      </c>
      <c r="J13" s="6" t="s">
        <v>123</v>
      </c>
      <c r="K13" s="6" t="s">
        <v>123</v>
      </c>
      <c r="L13" s="6"/>
      <c r="M13" s="6"/>
      <c r="N13" s="6"/>
      <c r="O13" s="6"/>
    </row>
    <row r="14" spans="1:16">
      <c r="A14" s="6">
        <v>53</v>
      </c>
      <c r="B14" s="6"/>
      <c r="C14" s="6" t="s">
        <v>123</v>
      </c>
      <c r="D14" s="6" t="s">
        <v>123</v>
      </c>
      <c r="E14" s="6" t="s">
        <v>123</v>
      </c>
      <c r="F14" s="6" t="s">
        <v>123</v>
      </c>
      <c r="G14" s="6" t="s">
        <v>123</v>
      </c>
      <c r="H14" s="6" t="s">
        <v>123</v>
      </c>
      <c r="I14" s="6" t="s">
        <v>123</v>
      </c>
      <c r="J14" s="6" t="s">
        <v>123</v>
      </c>
      <c r="K14" s="6" t="s">
        <v>123</v>
      </c>
      <c r="L14" s="6"/>
      <c r="M14" s="6"/>
      <c r="N14" s="6"/>
      <c r="O14" s="6"/>
    </row>
    <row r="15" spans="1:16">
      <c r="A15" s="6">
        <v>54</v>
      </c>
      <c r="B15" s="6"/>
      <c r="C15" s="6" t="s">
        <v>123</v>
      </c>
      <c r="D15" s="6" t="s">
        <v>123</v>
      </c>
      <c r="E15" s="6" t="s">
        <v>123</v>
      </c>
      <c r="F15" s="6" t="s">
        <v>123</v>
      </c>
      <c r="G15" s="6" t="s">
        <v>123</v>
      </c>
      <c r="H15" s="6" t="s">
        <v>123</v>
      </c>
      <c r="I15" s="6" t="s">
        <v>123</v>
      </c>
      <c r="J15" s="6" t="s">
        <v>123</v>
      </c>
      <c r="K15" s="6" t="s">
        <v>123</v>
      </c>
      <c r="L15" s="6"/>
      <c r="M15" s="6"/>
      <c r="N15" s="6"/>
      <c r="O15" s="6"/>
    </row>
    <row r="16" spans="1:16">
      <c r="A16" s="6">
        <v>55</v>
      </c>
      <c r="B16" s="6"/>
      <c r="C16" s="6" t="s">
        <v>123</v>
      </c>
      <c r="D16" s="6" t="s">
        <v>123</v>
      </c>
      <c r="E16" s="6" t="s">
        <v>123</v>
      </c>
      <c r="F16" s="6" t="s">
        <v>123</v>
      </c>
      <c r="G16" s="6" t="s">
        <v>123</v>
      </c>
      <c r="H16" s="6" t="s">
        <v>123</v>
      </c>
      <c r="I16" s="6" t="s">
        <v>123</v>
      </c>
      <c r="J16" s="6" t="s">
        <v>123</v>
      </c>
      <c r="K16" s="6" t="s">
        <v>123</v>
      </c>
      <c r="L16" s="6"/>
      <c r="M16" s="6"/>
      <c r="N16" s="6"/>
      <c r="O16" s="6"/>
    </row>
    <row r="17" spans="1:15">
      <c r="A17" s="6">
        <v>56</v>
      </c>
      <c r="B17" s="6"/>
      <c r="C17" s="6" t="s">
        <v>123</v>
      </c>
      <c r="D17" s="6" t="s">
        <v>123</v>
      </c>
      <c r="E17" s="6" t="s">
        <v>123</v>
      </c>
      <c r="F17" s="6" t="s">
        <v>123</v>
      </c>
      <c r="G17" s="6" t="s">
        <v>123</v>
      </c>
      <c r="H17" s="6" t="s">
        <v>123</v>
      </c>
      <c r="I17" s="6" t="s">
        <v>123</v>
      </c>
      <c r="J17" s="6" t="s">
        <v>123</v>
      </c>
      <c r="K17" s="6" t="s">
        <v>123</v>
      </c>
      <c r="L17" s="6"/>
      <c r="M17" s="6"/>
      <c r="N17" s="6"/>
      <c r="O17" s="6"/>
    </row>
    <row r="18" spans="1:15">
      <c r="A18" s="6">
        <v>57</v>
      </c>
      <c r="B18" s="6"/>
      <c r="C18" s="6" t="s">
        <v>123</v>
      </c>
      <c r="D18" s="6" t="s">
        <v>123</v>
      </c>
      <c r="E18" s="6" t="s">
        <v>123</v>
      </c>
      <c r="F18" s="6" t="s">
        <v>123</v>
      </c>
      <c r="G18" s="6" t="s">
        <v>123</v>
      </c>
      <c r="H18" s="6" t="s">
        <v>123</v>
      </c>
      <c r="I18" s="6" t="s">
        <v>123</v>
      </c>
      <c r="J18" s="6" t="s">
        <v>123</v>
      </c>
      <c r="K18" s="6" t="s">
        <v>123</v>
      </c>
      <c r="L18" s="6"/>
      <c r="M18" s="6"/>
      <c r="N18" s="6"/>
      <c r="O18" s="6"/>
    </row>
    <row r="19" spans="1:15">
      <c r="A19" s="6">
        <v>58</v>
      </c>
      <c r="B19" s="6"/>
      <c r="C19" s="6" t="s">
        <v>123</v>
      </c>
      <c r="D19" s="6" t="s">
        <v>123</v>
      </c>
      <c r="E19" s="6" t="s">
        <v>123</v>
      </c>
      <c r="F19" s="6" t="s">
        <v>123</v>
      </c>
      <c r="G19" s="6" t="s">
        <v>123</v>
      </c>
      <c r="H19" s="6" t="s">
        <v>123</v>
      </c>
      <c r="I19" s="6" t="s">
        <v>123</v>
      </c>
      <c r="J19" s="6" t="s">
        <v>123</v>
      </c>
      <c r="K19" s="6" t="s">
        <v>123</v>
      </c>
      <c r="L19" s="6"/>
      <c r="M19" s="6"/>
      <c r="N19" s="6"/>
      <c r="O19" s="6"/>
    </row>
    <row r="20" spans="1:15">
      <c r="A20" s="6">
        <v>59</v>
      </c>
      <c r="B20" s="6"/>
      <c r="C20" s="6" t="s">
        <v>123</v>
      </c>
      <c r="D20" s="6" t="s">
        <v>123</v>
      </c>
      <c r="E20" s="6" t="s">
        <v>123</v>
      </c>
      <c r="F20" s="6" t="s">
        <v>123</v>
      </c>
      <c r="G20" s="6" t="s">
        <v>123</v>
      </c>
      <c r="H20" s="6" t="s">
        <v>123</v>
      </c>
      <c r="I20" s="6" t="s">
        <v>123</v>
      </c>
      <c r="J20" s="6" t="s">
        <v>123</v>
      </c>
      <c r="K20" s="6" t="s">
        <v>123</v>
      </c>
      <c r="L20" s="6"/>
      <c r="M20" s="6"/>
      <c r="N20" s="6"/>
      <c r="O20" s="6"/>
    </row>
    <row r="21" spans="1:15">
      <c r="A21" s="6">
        <v>60</v>
      </c>
      <c r="B21" s="6"/>
      <c r="C21" s="6" t="s">
        <v>123</v>
      </c>
      <c r="D21" s="6" t="s">
        <v>123</v>
      </c>
      <c r="E21" s="6" t="s">
        <v>123</v>
      </c>
      <c r="F21" s="6" t="s">
        <v>123</v>
      </c>
      <c r="G21" s="6" t="s">
        <v>123</v>
      </c>
      <c r="H21" s="6" t="s">
        <v>123</v>
      </c>
      <c r="I21" s="6" t="s">
        <v>123</v>
      </c>
      <c r="J21" s="6" t="s">
        <v>123</v>
      </c>
      <c r="K21" s="6" t="s">
        <v>123</v>
      </c>
      <c r="L21" s="6"/>
      <c r="M21" s="6"/>
      <c r="N21" s="6"/>
      <c r="O21" s="6"/>
    </row>
    <row r="22" spans="1:15">
      <c r="A22" s="6">
        <v>61</v>
      </c>
      <c r="B22" s="6"/>
      <c r="C22" s="6" t="s">
        <v>123</v>
      </c>
      <c r="D22" s="6" t="s">
        <v>123</v>
      </c>
      <c r="E22" s="6" t="s">
        <v>123</v>
      </c>
      <c r="F22" s="6" t="s">
        <v>123</v>
      </c>
      <c r="G22" s="6" t="s">
        <v>123</v>
      </c>
      <c r="H22" s="6" t="s">
        <v>123</v>
      </c>
      <c r="I22" s="6" t="s">
        <v>123</v>
      </c>
      <c r="J22" s="6" t="s">
        <v>123</v>
      </c>
      <c r="K22" s="6" t="s">
        <v>123</v>
      </c>
      <c r="L22" s="6"/>
      <c r="M22" s="6"/>
      <c r="N22" s="6"/>
      <c r="O22" s="6"/>
    </row>
    <row r="23" spans="1:15">
      <c r="A23" s="6">
        <v>62</v>
      </c>
      <c r="B23" s="6"/>
      <c r="C23" s="6" t="s">
        <v>123</v>
      </c>
      <c r="D23" s="6" t="s">
        <v>123</v>
      </c>
      <c r="E23" s="6" t="s">
        <v>123</v>
      </c>
      <c r="F23" s="6" t="s">
        <v>123</v>
      </c>
      <c r="G23" s="6" t="s">
        <v>123</v>
      </c>
      <c r="H23" s="6" t="s">
        <v>123</v>
      </c>
      <c r="I23" s="6" t="s">
        <v>123</v>
      </c>
      <c r="J23" s="6" t="s">
        <v>123</v>
      </c>
      <c r="K23" s="6" t="s">
        <v>123</v>
      </c>
      <c r="L23" s="6"/>
      <c r="M23" s="6"/>
      <c r="N23" s="6"/>
      <c r="O23" s="6"/>
    </row>
    <row r="24" spans="1:15">
      <c r="A24" s="6">
        <v>63</v>
      </c>
      <c r="B24" s="6"/>
      <c r="C24" s="6" t="s">
        <v>123</v>
      </c>
      <c r="D24" s="6" t="s">
        <v>123</v>
      </c>
      <c r="E24" s="6" t="s">
        <v>123</v>
      </c>
      <c r="F24" s="6" t="s">
        <v>123</v>
      </c>
      <c r="G24" s="6" t="s">
        <v>123</v>
      </c>
      <c r="H24" s="6" t="s">
        <v>123</v>
      </c>
      <c r="I24" s="6" t="s">
        <v>123</v>
      </c>
      <c r="J24" s="6" t="s">
        <v>123</v>
      </c>
      <c r="K24" s="6" t="s">
        <v>123</v>
      </c>
      <c r="L24" s="6"/>
      <c r="M24" s="6"/>
      <c r="N24" s="6"/>
      <c r="O24" s="6"/>
    </row>
    <row r="25" spans="1:15">
      <c r="A25" s="6">
        <v>64</v>
      </c>
      <c r="B25" s="6"/>
      <c r="C25" s="6" t="s">
        <v>123</v>
      </c>
      <c r="D25" s="6" t="s">
        <v>123</v>
      </c>
      <c r="E25" s="6" t="s">
        <v>123</v>
      </c>
      <c r="F25" s="6" t="s">
        <v>123</v>
      </c>
      <c r="G25" s="6" t="s">
        <v>123</v>
      </c>
      <c r="H25" s="6" t="s">
        <v>123</v>
      </c>
      <c r="I25" s="6" t="s">
        <v>123</v>
      </c>
      <c r="J25" s="6" t="s">
        <v>123</v>
      </c>
      <c r="K25" s="6" t="s">
        <v>123</v>
      </c>
      <c r="L25" s="6"/>
      <c r="M25" s="6"/>
      <c r="N25" s="6"/>
      <c r="O25" s="6"/>
    </row>
    <row r="26" spans="1:15">
      <c r="A26" s="6">
        <v>65</v>
      </c>
      <c r="B26" s="6"/>
      <c r="C26" s="6" t="s">
        <v>123</v>
      </c>
      <c r="D26" s="6" t="s">
        <v>123</v>
      </c>
      <c r="E26" s="6" t="s">
        <v>123</v>
      </c>
      <c r="F26" s="6" t="s">
        <v>123</v>
      </c>
      <c r="G26" s="6" t="s">
        <v>123</v>
      </c>
      <c r="H26" s="6" t="s">
        <v>123</v>
      </c>
      <c r="I26" s="6" t="s">
        <v>123</v>
      </c>
      <c r="J26" s="6" t="s">
        <v>123</v>
      </c>
      <c r="K26" s="6" t="s">
        <v>123</v>
      </c>
      <c r="L26" s="6"/>
      <c r="M26" s="6"/>
      <c r="N26" s="6"/>
      <c r="O26" s="6"/>
    </row>
    <row r="27" spans="1:15">
      <c r="A27" s="6">
        <v>66</v>
      </c>
      <c r="B27" s="6"/>
      <c r="C27" s="6" t="s">
        <v>123</v>
      </c>
      <c r="D27" s="6" t="s">
        <v>123</v>
      </c>
      <c r="E27" s="6" t="s">
        <v>123</v>
      </c>
      <c r="F27" s="6" t="s">
        <v>123</v>
      </c>
      <c r="G27" s="6" t="s">
        <v>123</v>
      </c>
      <c r="H27" s="6" t="s">
        <v>123</v>
      </c>
      <c r="I27" s="6" t="s">
        <v>123</v>
      </c>
      <c r="J27" s="6" t="s">
        <v>123</v>
      </c>
      <c r="K27" s="6" t="s">
        <v>123</v>
      </c>
      <c r="L27" s="6"/>
      <c r="M27" s="6"/>
      <c r="N27" s="6"/>
      <c r="O27" s="6"/>
    </row>
    <row r="28" spans="1:15">
      <c r="A28" s="6">
        <v>67</v>
      </c>
      <c r="B28" s="6"/>
      <c r="C28" s="6" t="s">
        <v>123</v>
      </c>
      <c r="D28" s="6" t="s">
        <v>123</v>
      </c>
      <c r="E28" s="6" t="s">
        <v>123</v>
      </c>
      <c r="F28" s="6" t="s">
        <v>123</v>
      </c>
      <c r="G28" s="6" t="s">
        <v>123</v>
      </c>
      <c r="H28" s="6" t="s">
        <v>123</v>
      </c>
      <c r="I28" s="6" t="s">
        <v>123</v>
      </c>
      <c r="J28" s="6" t="s">
        <v>123</v>
      </c>
      <c r="K28" s="6" t="s">
        <v>123</v>
      </c>
      <c r="L28" s="6"/>
      <c r="M28" s="6"/>
      <c r="N28" s="6"/>
      <c r="O28" s="6"/>
    </row>
    <row r="29" spans="1:15">
      <c r="A29" s="6">
        <v>68</v>
      </c>
      <c r="B29" s="6"/>
      <c r="C29" s="6" t="s">
        <v>123</v>
      </c>
      <c r="D29" s="6" t="s">
        <v>123</v>
      </c>
      <c r="E29" s="6" t="s">
        <v>123</v>
      </c>
      <c r="F29" s="6" t="s">
        <v>123</v>
      </c>
      <c r="G29" s="6" t="s">
        <v>123</v>
      </c>
      <c r="H29" s="6" t="s">
        <v>123</v>
      </c>
      <c r="I29" s="6" t="s">
        <v>123</v>
      </c>
      <c r="J29" s="6" t="s">
        <v>123</v>
      </c>
      <c r="K29" s="6" t="s">
        <v>123</v>
      </c>
      <c r="L29" s="6"/>
      <c r="M29" s="6"/>
      <c r="N29" s="6"/>
      <c r="O29" s="6"/>
    </row>
    <row r="30" spans="1:15">
      <c r="A30" s="6">
        <v>69</v>
      </c>
      <c r="B30" s="6"/>
      <c r="C30" s="6" t="s">
        <v>123</v>
      </c>
      <c r="D30" s="6" t="s">
        <v>123</v>
      </c>
      <c r="E30" s="6" t="s">
        <v>123</v>
      </c>
      <c r="F30" s="6" t="s">
        <v>123</v>
      </c>
      <c r="G30" s="6" t="s">
        <v>123</v>
      </c>
      <c r="H30" s="6" t="s">
        <v>123</v>
      </c>
      <c r="I30" s="6" t="s">
        <v>123</v>
      </c>
      <c r="J30" s="6" t="s">
        <v>123</v>
      </c>
      <c r="K30" s="6" t="s">
        <v>123</v>
      </c>
      <c r="L30" s="6"/>
      <c r="M30" s="6"/>
      <c r="N30" s="6"/>
      <c r="O30" s="6"/>
    </row>
    <row r="31" spans="1:15">
      <c r="A31" s="6">
        <v>70</v>
      </c>
      <c r="B31" s="6"/>
      <c r="C31" s="6" t="s">
        <v>123</v>
      </c>
      <c r="D31" s="6" t="s">
        <v>123</v>
      </c>
      <c r="E31" s="6" t="s">
        <v>123</v>
      </c>
      <c r="F31" s="6" t="s">
        <v>123</v>
      </c>
      <c r="G31" s="6" t="s">
        <v>123</v>
      </c>
      <c r="H31" s="6" t="s">
        <v>123</v>
      </c>
      <c r="I31" s="6" t="s">
        <v>123</v>
      </c>
      <c r="J31" s="6" t="s">
        <v>123</v>
      </c>
      <c r="K31" s="6" t="s">
        <v>123</v>
      </c>
      <c r="L31" s="6"/>
      <c r="M31" s="6"/>
      <c r="N31" s="6"/>
      <c r="O31" s="6"/>
    </row>
    <row r="32" spans="1:15">
      <c r="A32" s="6">
        <v>71</v>
      </c>
      <c r="B32" s="6"/>
      <c r="C32" s="6" t="s">
        <v>123</v>
      </c>
      <c r="D32" s="6" t="s">
        <v>123</v>
      </c>
      <c r="E32" s="6" t="s">
        <v>123</v>
      </c>
      <c r="F32" s="6" t="s">
        <v>123</v>
      </c>
      <c r="G32" s="6" t="s">
        <v>123</v>
      </c>
      <c r="H32" s="6" t="s">
        <v>123</v>
      </c>
      <c r="I32" s="6" t="s">
        <v>123</v>
      </c>
      <c r="J32" s="6" t="s">
        <v>123</v>
      </c>
      <c r="K32" s="6" t="s">
        <v>123</v>
      </c>
      <c r="L32" s="6"/>
      <c r="M32" s="6"/>
      <c r="N32" s="6"/>
      <c r="O32" s="6"/>
    </row>
    <row r="33" spans="1:15">
      <c r="A33" s="6">
        <v>72</v>
      </c>
      <c r="B33" s="6"/>
      <c r="C33" s="6" t="s">
        <v>123</v>
      </c>
      <c r="D33" s="6" t="s">
        <v>123</v>
      </c>
      <c r="E33" s="6" t="s">
        <v>123</v>
      </c>
      <c r="F33" s="6" t="s">
        <v>123</v>
      </c>
      <c r="G33" s="6" t="s">
        <v>123</v>
      </c>
      <c r="H33" s="6" t="s">
        <v>123</v>
      </c>
      <c r="I33" s="6" t="s">
        <v>123</v>
      </c>
      <c r="J33" s="6" t="s">
        <v>123</v>
      </c>
      <c r="K33" s="6" t="s">
        <v>123</v>
      </c>
      <c r="L33" s="6"/>
      <c r="M33" s="6"/>
      <c r="N33" s="6"/>
      <c r="O33" s="6"/>
    </row>
    <row r="34" spans="1:15">
      <c r="A34" s="6">
        <v>73</v>
      </c>
      <c r="B34" s="6"/>
      <c r="C34" s="6" t="s">
        <v>123</v>
      </c>
      <c r="D34" s="6" t="s">
        <v>123</v>
      </c>
      <c r="E34" s="6" t="s">
        <v>123</v>
      </c>
      <c r="F34" s="6" t="s">
        <v>123</v>
      </c>
      <c r="G34" s="6" t="s">
        <v>123</v>
      </c>
      <c r="H34" s="6" t="s">
        <v>123</v>
      </c>
      <c r="I34" s="6" t="s">
        <v>123</v>
      </c>
      <c r="J34" s="6" t="s">
        <v>123</v>
      </c>
      <c r="K34" s="6" t="s">
        <v>123</v>
      </c>
      <c r="L34" s="6"/>
      <c r="M34" s="6"/>
      <c r="N34" s="6"/>
      <c r="O34" s="6"/>
    </row>
    <row r="35" spans="1:15">
      <c r="A35" s="6">
        <v>74</v>
      </c>
      <c r="B35" s="6"/>
      <c r="C35" s="6" t="s">
        <v>123</v>
      </c>
      <c r="D35" s="6" t="s">
        <v>123</v>
      </c>
      <c r="E35" s="6" t="s">
        <v>123</v>
      </c>
      <c r="F35" s="6" t="s">
        <v>123</v>
      </c>
      <c r="G35" s="6" t="s">
        <v>123</v>
      </c>
      <c r="H35" s="6" t="s">
        <v>123</v>
      </c>
      <c r="I35" s="6" t="s">
        <v>123</v>
      </c>
      <c r="J35" s="6" t="s">
        <v>123</v>
      </c>
      <c r="K35" s="6" t="s">
        <v>123</v>
      </c>
      <c r="L35" s="6"/>
      <c r="M35" s="6"/>
      <c r="N35" s="6"/>
      <c r="O35" s="6"/>
    </row>
    <row r="36" spans="1:15">
      <c r="A36" s="6">
        <v>75</v>
      </c>
      <c r="B36" s="6"/>
      <c r="C36" s="6" t="s">
        <v>123</v>
      </c>
      <c r="D36" s="6" t="s">
        <v>123</v>
      </c>
      <c r="E36" s="6" t="s">
        <v>123</v>
      </c>
      <c r="F36" s="6" t="s">
        <v>123</v>
      </c>
      <c r="G36" s="6" t="s">
        <v>123</v>
      </c>
      <c r="H36" s="6" t="s">
        <v>123</v>
      </c>
      <c r="I36" s="6" t="s">
        <v>123</v>
      </c>
      <c r="J36" s="6" t="s">
        <v>123</v>
      </c>
      <c r="K36" s="6" t="s">
        <v>123</v>
      </c>
      <c r="L36" s="6"/>
      <c r="M36" s="6"/>
      <c r="N36" s="6"/>
      <c r="O36" s="6"/>
    </row>
    <row r="37" spans="1:15">
      <c r="A37" s="6">
        <v>76</v>
      </c>
      <c r="B37" s="6"/>
      <c r="C37" s="6" t="s">
        <v>123</v>
      </c>
      <c r="D37" s="6" t="s">
        <v>123</v>
      </c>
      <c r="E37" s="6" t="s">
        <v>123</v>
      </c>
      <c r="F37" s="6" t="s">
        <v>123</v>
      </c>
      <c r="G37" s="6" t="s">
        <v>123</v>
      </c>
      <c r="H37" s="6" t="s">
        <v>123</v>
      </c>
      <c r="I37" s="6" t="s">
        <v>123</v>
      </c>
      <c r="J37" s="6" t="s">
        <v>123</v>
      </c>
      <c r="K37" s="6" t="s">
        <v>123</v>
      </c>
      <c r="L37" s="6"/>
      <c r="M37" s="6"/>
      <c r="N37" s="6"/>
      <c r="O37" s="6"/>
    </row>
    <row r="38" spans="1:15">
      <c r="A38" s="6">
        <v>77</v>
      </c>
      <c r="B38" s="6"/>
      <c r="C38" s="6" t="s">
        <v>123</v>
      </c>
      <c r="D38" s="6" t="s">
        <v>123</v>
      </c>
      <c r="E38" s="6" t="s">
        <v>123</v>
      </c>
      <c r="F38" s="6" t="s">
        <v>123</v>
      </c>
      <c r="G38" s="6" t="s">
        <v>123</v>
      </c>
      <c r="H38" s="6" t="s">
        <v>123</v>
      </c>
      <c r="I38" s="6" t="s">
        <v>123</v>
      </c>
      <c r="J38" s="6" t="s">
        <v>123</v>
      </c>
      <c r="K38" s="6" t="s">
        <v>123</v>
      </c>
      <c r="L38" s="6"/>
      <c r="M38" s="6"/>
      <c r="N38" s="6"/>
      <c r="O38" s="6"/>
    </row>
    <row r="39" spans="1:15">
      <c r="A39" s="6">
        <v>78</v>
      </c>
      <c r="B39" s="6"/>
      <c r="C39" s="6" t="s">
        <v>123</v>
      </c>
      <c r="D39" s="6" t="s">
        <v>123</v>
      </c>
      <c r="E39" s="6" t="s">
        <v>123</v>
      </c>
      <c r="F39" s="6" t="s">
        <v>123</v>
      </c>
      <c r="G39" s="6" t="s">
        <v>123</v>
      </c>
      <c r="H39" s="6" t="s">
        <v>123</v>
      </c>
      <c r="I39" s="6" t="s">
        <v>123</v>
      </c>
      <c r="J39" s="6" t="s">
        <v>123</v>
      </c>
      <c r="K39" s="6" t="s">
        <v>123</v>
      </c>
      <c r="L39" s="6"/>
      <c r="M39" s="6"/>
      <c r="N39" s="6"/>
      <c r="O39" s="6"/>
    </row>
    <row r="40" spans="1:15">
      <c r="A40" s="6">
        <v>79</v>
      </c>
      <c r="B40" s="6"/>
      <c r="C40" s="6" t="s">
        <v>123</v>
      </c>
      <c r="D40" s="6" t="s">
        <v>123</v>
      </c>
      <c r="E40" s="6" t="s">
        <v>123</v>
      </c>
      <c r="F40" s="6" t="s">
        <v>123</v>
      </c>
      <c r="G40" s="6" t="s">
        <v>123</v>
      </c>
      <c r="H40" s="6" t="s">
        <v>123</v>
      </c>
      <c r="I40" s="6" t="s">
        <v>123</v>
      </c>
      <c r="J40" s="6" t="s">
        <v>123</v>
      </c>
      <c r="K40" s="6" t="s">
        <v>123</v>
      </c>
      <c r="L40" s="6"/>
      <c r="M40" s="6"/>
      <c r="N40" s="6"/>
      <c r="O40" s="6"/>
    </row>
    <row r="41" spans="1:15">
      <c r="A41" s="6">
        <v>80</v>
      </c>
      <c r="B41" s="6"/>
      <c r="C41" s="6" t="s">
        <v>123</v>
      </c>
      <c r="D41" s="6" t="s">
        <v>123</v>
      </c>
      <c r="E41" s="6" t="s">
        <v>123</v>
      </c>
      <c r="F41" s="6" t="s">
        <v>123</v>
      </c>
      <c r="G41" s="6" t="s">
        <v>123</v>
      </c>
      <c r="H41" s="6" t="s">
        <v>123</v>
      </c>
      <c r="I41" s="6" t="s">
        <v>123</v>
      </c>
      <c r="J41" s="6" t="s">
        <v>123</v>
      </c>
      <c r="K41" s="6" t="s">
        <v>123</v>
      </c>
      <c r="L41" s="6"/>
      <c r="M41" s="6"/>
      <c r="N41" s="6"/>
      <c r="O41" s="6"/>
    </row>
    <row r="42" spans="1:15">
      <c r="A42" s="6">
        <v>81</v>
      </c>
      <c r="B42" s="6"/>
      <c r="C42" s="6" t="s">
        <v>123</v>
      </c>
      <c r="D42" s="6" t="s">
        <v>123</v>
      </c>
      <c r="E42" s="6" t="s">
        <v>123</v>
      </c>
      <c r="F42" s="6" t="s">
        <v>123</v>
      </c>
      <c r="G42" s="6" t="s">
        <v>123</v>
      </c>
      <c r="H42" s="6" t="s">
        <v>123</v>
      </c>
      <c r="I42" s="6" t="s">
        <v>123</v>
      </c>
      <c r="J42" s="6" t="s">
        <v>123</v>
      </c>
      <c r="K42" s="6" t="s">
        <v>123</v>
      </c>
      <c r="L42" s="6"/>
      <c r="M42" s="6"/>
      <c r="N42" s="6"/>
      <c r="O42" s="6"/>
    </row>
    <row r="43" spans="1:15">
      <c r="A43" s="6">
        <v>82</v>
      </c>
      <c r="B43" s="6"/>
      <c r="C43" s="6" t="s">
        <v>123</v>
      </c>
      <c r="D43" s="6" t="s">
        <v>123</v>
      </c>
      <c r="E43" s="6" t="s">
        <v>123</v>
      </c>
      <c r="F43" s="6" t="s">
        <v>123</v>
      </c>
      <c r="G43" s="6" t="s">
        <v>123</v>
      </c>
      <c r="H43" s="6" t="s">
        <v>123</v>
      </c>
      <c r="I43" s="6" t="s">
        <v>123</v>
      </c>
      <c r="J43" s="6" t="s">
        <v>123</v>
      </c>
      <c r="K43" s="6" t="s">
        <v>123</v>
      </c>
      <c r="L43" s="6"/>
      <c r="M43" s="6"/>
      <c r="N43" s="6"/>
      <c r="O43" s="6"/>
    </row>
    <row r="44" spans="1:15">
      <c r="A44" s="6">
        <v>83</v>
      </c>
      <c r="B44" s="6"/>
      <c r="C44" s="6" t="s">
        <v>123</v>
      </c>
      <c r="D44" s="6" t="s">
        <v>123</v>
      </c>
      <c r="E44" s="6" t="s">
        <v>123</v>
      </c>
      <c r="F44" s="6" t="s">
        <v>123</v>
      </c>
      <c r="G44" s="6" t="s">
        <v>123</v>
      </c>
      <c r="H44" s="6" t="s">
        <v>123</v>
      </c>
      <c r="I44" s="6" t="s">
        <v>123</v>
      </c>
      <c r="J44" s="6" t="s">
        <v>123</v>
      </c>
      <c r="K44" s="6" t="s">
        <v>123</v>
      </c>
      <c r="L44" s="6"/>
      <c r="M44" s="6"/>
      <c r="N44" s="6"/>
      <c r="O44" s="6"/>
    </row>
    <row r="45" spans="1:15">
      <c r="A45" s="6">
        <v>84</v>
      </c>
      <c r="B45" s="6"/>
      <c r="C45" s="6" t="s">
        <v>123</v>
      </c>
      <c r="D45" s="6" t="s">
        <v>123</v>
      </c>
      <c r="E45" s="6" t="s">
        <v>123</v>
      </c>
      <c r="F45" s="6" t="s">
        <v>123</v>
      </c>
      <c r="G45" s="6" t="s">
        <v>123</v>
      </c>
      <c r="H45" s="6" t="s">
        <v>123</v>
      </c>
      <c r="I45" s="6" t="s">
        <v>123</v>
      </c>
      <c r="J45" s="6" t="s">
        <v>123</v>
      </c>
      <c r="K45" s="6" t="s">
        <v>123</v>
      </c>
      <c r="L45" s="6"/>
      <c r="M45" s="6"/>
      <c r="N45" s="6"/>
      <c r="O45" s="6"/>
    </row>
    <row r="46" spans="1:15">
      <c r="A46" s="6">
        <v>85</v>
      </c>
      <c r="B46" s="6"/>
      <c r="C46" s="6" t="s">
        <v>123</v>
      </c>
      <c r="D46" s="6" t="s">
        <v>123</v>
      </c>
      <c r="E46" s="6" t="s">
        <v>123</v>
      </c>
      <c r="F46" s="6" t="s">
        <v>123</v>
      </c>
      <c r="G46" s="6" t="s">
        <v>123</v>
      </c>
      <c r="H46" s="6" t="s">
        <v>123</v>
      </c>
      <c r="I46" s="6" t="s">
        <v>123</v>
      </c>
      <c r="J46" s="6" t="s">
        <v>123</v>
      </c>
      <c r="K46" s="6" t="s">
        <v>123</v>
      </c>
      <c r="L46" s="6"/>
      <c r="M46" s="6"/>
      <c r="N46" s="6"/>
      <c r="O46" s="6"/>
    </row>
    <row r="47" spans="1:15">
      <c r="A47" s="6">
        <v>86</v>
      </c>
      <c r="B47" s="6"/>
      <c r="C47" s="6" t="s">
        <v>123</v>
      </c>
      <c r="D47" s="6" t="s">
        <v>123</v>
      </c>
      <c r="E47" s="6" t="s">
        <v>123</v>
      </c>
      <c r="F47" s="6" t="s">
        <v>123</v>
      </c>
      <c r="G47" s="6" t="s">
        <v>123</v>
      </c>
      <c r="H47" s="6" t="s">
        <v>123</v>
      </c>
      <c r="I47" s="6" t="s">
        <v>123</v>
      </c>
      <c r="J47" s="6" t="s">
        <v>123</v>
      </c>
      <c r="K47" s="6" t="s">
        <v>123</v>
      </c>
      <c r="L47" s="6"/>
      <c r="M47" s="6"/>
      <c r="N47" s="6"/>
      <c r="O47" s="6"/>
    </row>
    <row r="48" spans="1:15">
      <c r="A48" s="6">
        <v>87</v>
      </c>
      <c r="B48" s="6"/>
      <c r="C48" s="6" t="s">
        <v>123</v>
      </c>
      <c r="D48" s="6" t="s">
        <v>123</v>
      </c>
      <c r="E48" s="6" t="s">
        <v>123</v>
      </c>
      <c r="F48" s="6" t="s">
        <v>123</v>
      </c>
      <c r="G48" s="6" t="s">
        <v>123</v>
      </c>
      <c r="H48" s="6" t="s">
        <v>123</v>
      </c>
      <c r="I48" s="6" t="s">
        <v>123</v>
      </c>
      <c r="J48" s="6" t="s">
        <v>123</v>
      </c>
      <c r="K48" s="6" t="s">
        <v>123</v>
      </c>
      <c r="L48" s="6"/>
      <c r="M48" s="6"/>
      <c r="N48" s="6"/>
      <c r="O48" s="6"/>
    </row>
    <row r="49" spans="1:15">
      <c r="A49" s="6">
        <v>88</v>
      </c>
      <c r="B49" s="6"/>
      <c r="C49" s="6" t="s">
        <v>123</v>
      </c>
      <c r="D49" s="6" t="s">
        <v>123</v>
      </c>
      <c r="E49" s="6" t="s">
        <v>123</v>
      </c>
      <c r="F49" s="6" t="s">
        <v>123</v>
      </c>
      <c r="G49" s="6" t="s">
        <v>123</v>
      </c>
      <c r="H49" s="6" t="s">
        <v>123</v>
      </c>
      <c r="I49" s="6" t="s">
        <v>123</v>
      </c>
      <c r="J49" s="6" t="s">
        <v>123</v>
      </c>
      <c r="K49" s="6" t="s">
        <v>123</v>
      </c>
      <c r="L49" s="6"/>
      <c r="M49" s="6"/>
      <c r="N49" s="6"/>
      <c r="O49" s="6"/>
    </row>
    <row r="50" spans="1:15">
      <c r="A50" s="6">
        <v>89</v>
      </c>
      <c r="B50" s="6"/>
      <c r="C50" s="6" t="s">
        <v>123</v>
      </c>
      <c r="D50" s="6" t="s">
        <v>123</v>
      </c>
      <c r="E50" s="6" t="s">
        <v>123</v>
      </c>
      <c r="F50" s="6" t="s">
        <v>123</v>
      </c>
      <c r="G50" s="6" t="s">
        <v>123</v>
      </c>
      <c r="H50" s="6" t="s">
        <v>123</v>
      </c>
      <c r="I50" s="6" t="s">
        <v>123</v>
      </c>
      <c r="J50" s="6" t="s">
        <v>123</v>
      </c>
      <c r="K50" s="6" t="s">
        <v>123</v>
      </c>
      <c r="L50" s="6"/>
      <c r="M50" s="6"/>
      <c r="N50" s="6"/>
      <c r="O50" s="6"/>
    </row>
    <row r="51" spans="1:15">
      <c r="A51" s="6">
        <v>90</v>
      </c>
      <c r="B51" s="6"/>
      <c r="C51" s="6" t="s">
        <v>123</v>
      </c>
      <c r="D51" s="6" t="s">
        <v>123</v>
      </c>
      <c r="E51" s="6" t="s">
        <v>123</v>
      </c>
      <c r="F51" s="6" t="s">
        <v>123</v>
      </c>
      <c r="G51" s="6" t="s">
        <v>123</v>
      </c>
      <c r="H51" s="6" t="s">
        <v>123</v>
      </c>
      <c r="I51" s="6" t="s">
        <v>123</v>
      </c>
      <c r="J51" s="6" t="s">
        <v>123</v>
      </c>
      <c r="K51" s="6" t="s">
        <v>123</v>
      </c>
      <c r="L51" s="6"/>
      <c r="M51" s="6"/>
      <c r="N51" s="6"/>
      <c r="O51" s="6"/>
    </row>
    <row r="52" spans="1:15">
      <c r="A52" s="6">
        <v>91</v>
      </c>
      <c r="B52" s="6"/>
      <c r="C52" s="6" t="s">
        <v>123</v>
      </c>
      <c r="D52" s="6" t="s">
        <v>123</v>
      </c>
      <c r="E52" s="6" t="s">
        <v>123</v>
      </c>
      <c r="F52" s="6" t="s">
        <v>123</v>
      </c>
      <c r="G52" s="6" t="s">
        <v>123</v>
      </c>
      <c r="H52" s="6" t="s">
        <v>123</v>
      </c>
      <c r="I52" s="6" t="s">
        <v>123</v>
      </c>
      <c r="J52" s="6" t="s">
        <v>123</v>
      </c>
      <c r="K52" s="6" t="s">
        <v>123</v>
      </c>
      <c r="L52" s="6"/>
      <c r="M52" s="6"/>
      <c r="N52" s="6"/>
      <c r="O52" s="6"/>
    </row>
    <row r="53" spans="1:15">
      <c r="A53" s="6">
        <v>92</v>
      </c>
      <c r="B53" s="6"/>
      <c r="C53" s="6" t="s">
        <v>123</v>
      </c>
      <c r="D53" s="6" t="s">
        <v>123</v>
      </c>
      <c r="E53" s="6" t="s">
        <v>123</v>
      </c>
      <c r="F53" s="6" t="s">
        <v>123</v>
      </c>
      <c r="G53" s="6" t="s">
        <v>123</v>
      </c>
      <c r="H53" s="6" t="s">
        <v>123</v>
      </c>
      <c r="I53" s="6" t="s">
        <v>123</v>
      </c>
      <c r="J53" s="6" t="s">
        <v>123</v>
      </c>
      <c r="K53" s="6" t="s">
        <v>123</v>
      </c>
      <c r="L53" s="6"/>
      <c r="M53" s="6"/>
      <c r="N53" s="6"/>
      <c r="O53" s="6"/>
    </row>
    <row r="54" spans="1:15">
      <c r="A54" s="6">
        <v>93</v>
      </c>
      <c r="B54" s="6"/>
      <c r="C54" s="6" t="s">
        <v>123</v>
      </c>
      <c r="D54" s="6" t="s">
        <v>123</v>
      </c>
      <c r="E54" s="6" t="s">
        <v>123</v>
      </c>
      <c r="F54" s="6" t="s">
        <v>123</v>
      </c>
      <c r="G54" s="6" t="s">
        <v>123</v>
      </c>
      <c r="H54" s="6" t="s">
        <v>123</v>
      </c>
      <c r="I54" s="6" t="s">
        <v>123</v>
      </c>
      <c r="J54" s="6" t="s">
        <v>123</v>
      </c>
      <c r="K54" s="6" t="s">
        <v>123</v>
      </c>
      <c r="L54" s="6"/>
      <c r="M54" s="6"/>
      <c r="N54" s="6"/>
      <c r="O54" s="6"/>
    </row>
    <row r="55" spans="1:15">
      <c r="A55" s="6">
        <v>94</v>
      </c>
      <c r="B55" s="6"/>
      <c r="C55" s="6" t="s">
        <v>123</v>
      </c>
      <c r="D55" s="6" t="s">
        <v>123</v>
      </c>
      <c r="E55" s="6" t="s">
        <v>123</v>
      </c>
      <c r="F55" s="6" t="s">
        <v>123</v>
      </c>
      <c r="G55" s="6" t="s">
        <v>123</v>
      </c>
      <c r="H55" s="6" t="s">
        <v>123</v>
      </c>
      <c r="I55" s="6" t="s">
        <v>123</v>
      </c>
      <c r="J55" s="6" t="s">
        <v>123</v>
      </c>
      <c r="K55" s="6" t="s">
        <v>123</v>
      </c>
      <c r="L55" s="6"/>
      <c r="M55" s="6"/>
      <c r="N55" s="6"/>
      <c r="O55" s="6"/>
    </row>
    <row r="56" spans="1:15">
      <c r="A56" s="6">
        <v>95</v>
      </c>
      <c r="B56" s="6"/>
      <c r="C56" s="6" t="s">
        <v>123</v>
      </c>
      <c r="D56" s="6" t="s">
        <v>123</v>
      </c>
      <c r="E56" s="6" t="s">
        <v>123</v>
      </c>
      <c r="F56" s="6" t="s">
        <v>123</v>
      </c>
      <c r="G56" s="6" t="s">
        <v>123</v>
      </c>
      <c r="H56" s="6" t="s">
        <v>123</v>
      </c>
      <c r="I56" s="6" t="s">
        <v>123</v>
      </c>
      <c r="J56" s="6" t="s">
        <v>123</v>
      </c>
      <c r="K56" s="6" t="s">
        <v>123</v>
      </c>
      <c r="L56" s="6"/>
      <c r="M56" s="6"/>
      <c r="N56" s="6"/>
      <c r="O56" s="6"/>
    </row>
    <row r="57" spans="1:15">
      <c r="A57" s="6">
        <v>96</v>
      </c>
      <c r="B57" s="6"/>
      <c r="C57" s="6" t="s">
        <v>123</v>
      </c>
      <c r="D57" s="6" t="s">
        <v>123</v>
      </c>
      <c r="E57" s="6" t="s">
        <v>123</v>
      </c>
      <c r="F57" s="6" t="s">
        <v>123</v>
      </c>
      <c r="G57" s="6" t="s">
        <v>123</v>
      </c>
      <c r="H57" s="6" t="s">
        <v>123</v>
      </c>
      <c r="I57" s="6" t="s">
        <v>123</v>
      </c>
      <c r="J57" s="6" t="s">
        <v>123</v>
      </c>
      <c r="K57" s="6" t="s">
        <v>123</v>
      </c>
      <c r="L57" s="6"/>
      <c r="M57" s="6"/>
      <c r="N57" s="6"/>
      <c r="O57" s="6"/>
    </row>
    <row r="58" spans="1:15">
      <c r="A58" s="6">
        <v>97</v>
      </c>
      <c r="B58" s="6"/>
      <c r="C58" s="6" t="s">
        <v>123</v>
      </c>
      <c r="D58" s="6" t="s">
        <v>123</v>
      </c>
      <c r="E58" s="6" t="s">
        <v>123</v>
      </c>
      <c r="F58" s="6" t="s">
        <v>123</v>
      </c>
      <c r="G58" s="6" t="s">
        <v>123</v>
      </c>
      <c r="H58" s="6" t="s">
        <v>123</v>
      </c>
      <c r="I58" s="6" t="s">
        <v>123</v>
      </c>
      <c r="J58" s="6" t="s">
        <v>123</v>
      </c>
      <c r="K58" s="6" t="s">
        <v>123</v>
      </c>
      <c r="L58" s="6"/>
      <c r="M58" s="6"/>
      <c r="N58" s="6"/>
      <c r="O58" s="6"/>
    </row>
    <row r="59" spans="1:15">
      <c r="A59" s="6">
        <v>98</v>
      </c>
      <c r="B59" s="6"/>
      <c r="C59" s="6" t="s">
        <v>123</v>
      </c>
      <c r="D59" s="6" t="s">
        <v>123</v>
      </c>
      <c r="E59" s="6" t="s">
        <v>123</v>
      </c>
      <c r="F59" s="6" t="s">
        <v>123</v>
      </c>
      <c r="G59" s="6" t="s">
        <v>123</v>
      </c>
      <c r="H59" s="6" t="s">
        <v>123</v>
      </c>
      <c r="I59" s="6" t="s">
        <v>123</v>
      </c>
      <c r="J59" s="6" t="s">
        <v>123</v>
      </c>
      <c r="K59" s="6" t="s">
        <v>123</v>
      </c>
      <c r="L59" s="6"/>
      <c r="M59" s="6"/>
      <c r="N59" s="6"/>
      <c r="O59" s="6"/>
    </row>
    <row r="60" spans="1:15">
      <c r="A60" s="6">
        <v>99</v>
      </c>
      <c r="B60" s="6"/>
      <c r="C60" s="6" t="s">
        <v>123</v>
      </c>
      <c r="D60" s="6" t="s">
        <v>123</v>
      </c>
      <c r="E60" s="6" t="s">
        <v>123</v>
      </c>
      <c r="F60" s="6" t="s">
        <v>123</v>
      </c>
      <c r="G60" s="6" t="s">
        <v>123</v>
      </c>
      <c r="H60" s="6" t="s">
        <v>123</v>
      </c>
      <c r="I60" s="6" t="s">
        <v>123</v>
      </c>
      <c r="J60" s="6" t="s">
        <v>123</v>
      </c>
      <c r="K60" s="6" t="s">
        <v>123</v>
      </c>
      <c r="L60" s="6"/>
      <c r="M60" s="6"/>
      <c r="N60" s="6"/>
      <c r="O60" s="6"/>
    </row>
    <row r="61" spans="1:15">
      <c r="A61" s="6">
        <v>100</v>
      </c>
      <c r="B61" s="6"/>
      <c r="C61" s="6" t="s">
        <v>123</v>
      </c>
      <c r="D61" s="6" t="s">
        <v>123</v>
      </c>
      <c r="E61" s="6" t="s">
        <v>123</v>
      </c>
      <c r="F61" s="6" t="s">
        <v>123</v>
      </c>
      <c r="G61" s="6" t="s">
        <v>123</v>
      </c>
      <c r="H61" s="6" t="s">
        <v>123</v>
      </c>
      <c r="I61" s="6" t="s">
        <v>123</v>
      </c>
      <c r="J61" s="6" t="s">
        <v>123</v>
      </c>
      <c r="K61" s="6" t="s">
        <v>123</v>
      </c>
      <c r="L61" s="6"/>
      <c r="M61" s="6"/>
      <c r="N61" s="6"/>
      <c r="O61" s="6"/>
    </row>
    <row r="62" spans="1:15">
      <c r="A62" s="6"/>
      <c r="B62" s="6"/>
      <c r="C62" s="6" t="s">
        <v>123</v>
      </c>
      <c r="D62" s="6" t="s">
        <v>123</v>
      </c>
      <c r="E62" s="6" t="s">
        <v>123</v>
      </c>
      <c r="F62" s="6" t="s">
        <v>123</v>
      </c>
      <c r="G62" s="6" t="s">
        <v>123</v>
      </c>
      <c r="H62" s="6" t="s">
        <v>123</v>
      </c>
      <c r="I62" s="6" t="s">
        <v>123</v>
      </c>
      <c r="J62" s="6" t="s">
        <v>123</v>
      </c>
      <c r="K62" s="6" t="s">
        <v>123</v>
      </c>
      <c r="L62" s="6"/>
      <c r="M62" s="6"/>
      <c r="N62" s="6"/>
      <c r="O62" s="6"/>
    </row>
    <row r="63" spans="1:15">
      <c r="A63" s="6"/>
      <c r="B63" s="6"/>
      <c r="C63" s="6" t="s">
        <v>123</v>
      </c>
      <c r="D63" s="6" t="s">
        <v>123</v>
      </c>
      <c r="E63" s="6" t="s">
        <v>123</v>
      </c>
      <c r="F63" s="6" t="s">
        <v>123</v>
      </c>
      <c r="G63" s="6" t="s">
        <v>123</v>
      </c>
      <c r="H63" s="6" t="s">
        <v>123</v>
      </c>
      <c r="I63" s="6" t="s">
        <v>123</v>
      </c>
      <c r="J63" s="6" t="s">
        <v>123</v>
      </c>
      <c r="K63" s="6" t="s">
        <v>123</v>
      </c>
      <c r="L63" s="6"/>
      <c r="M63" s="6"/>
      <c r="N63" s="6"/>
      <c r="O63" s="6"/>
    </row>
    <row r="64" spans="1:15">
      <c r="A64" s="6"/>
      <c r="B64" s="6"/>
      <c r="C64" s="6" t="s">
        <v>123</v>
      </c>
      <c r="D64" s="6" t="s">
        <v>123</v>
      </c>
      <c r="E64" s="6" t="s">
        <v>123</v>
      </c>
      <c r="F64" s="6" t="s">
        <v>123</v>
      </c>
      <c r="G64" s="6" t="s">
        <v>123</v>
      </c>
      <c r="H64" s="6" t="s">
        <v>123</v>
      </c>
      <c r="I64" s="6" t="s">
        <v>123</v>
      </c>
      <c r="J64" s="6" t="s">
        <v>123</v>
      </c>
      <c r="K64" s="6" t="s">
        <v>123</v>
      </c>
      <c r="L64" s="6"/>
      <c r="M64" s="6"/>
      <c r="N64" s="6"/>
      <c r="O64" s="6"/>
    </row>
    <row r="65" spans="1:15">
      <c r="A65" s="6"/>
      <c r="B65" s="6"/>
      <c r="C65" s="6" t="s">
        <v>123</v>
      </c>
      <c r="D65" s="6" t="s">
        <v>123</v>
      </c>
      <c r="E65" s="6" t="s">
        <v>123</v>
      </c>
      <c r="F65" s="6" t="s">
        <v>123</v>
      </c>
      <c r="G65" s="6" t="s">
        <v>123</v>
      </c>
      <c r="H65" s="6" t="s">
        <v>123</v>
      </c>
      <c r="I65" s="6" t="s">
        <v>123</v>
      </c>
      <c r="J65" s="6" t="s">
        <v>123</v>
      </c>
      <c r="K65" s="6" t="s">
        <v>123</v>
      </c>
      <c r="L65" s="6"/>
      <c r="M65" s="6"/>
      <c r="N65" s="6"/>
      <c r="O65" s="6"/>
    </row>
    <row r="66" spans="1:15">
      <c r="A66" s="6"/>
      <c r="B66" s="6"/>
      <c r="C66" s="6" t="s">
        <v>123</v>
      </c>
      <c r="D66" s="6" t="s">
        <v>123</v>
      </c>
      <c r="E66" s="6" t="s">
        <v>123</v>
      </c>
      <c r="F66" s="6" t="s">
        <v>123</v>
      </c>
      <c r="G66" s="6" t="s">
        <v>123</v>
      </c>
      <c r="H66" s="6" t="s">
        <v>123</v>
      </c>
      <c r="I66" s="6" t="s">
        <v>123</v>
      </c>
      <c r="J66" s="6" t="s">
        <v>123</v>
      </c>
      <c r="K66" s="6" t="s">
        <v>123</v>
      </c>
      <c r="L66" s="6"/>
      <c r="M66" s="6"/>
      <c r="N66" s="6"/>
      <c r="O66" s="6"/>
    </row>
    <row r="67" spans="1:15">
      <c r="A67" s="6"/>
      <c r="B67" s="6"/>
      <c r="C67" s="6" t="s">
        <v>123</v>
      </c>
      <c r="D67" s="6" t="s">
        <v>123</v>
      </c>
      <c r="E67" s="6" t="s">
        <v>123</v>
      </c>
      <c r="F67" s="6" t="s">
        <v>123</v>
      </c>
      <c r="G67" s="6" t="s">
        <v>123</v>
      </c>
      <c r="H67" s="6" t="s">
        <v>123</v>
      </c>
      <c r="I67" s="6" t="s">
        <v>123</v>
      </c>
      <c r="J67" s="6" t="s">
        <v>123</v>
      </c>
      <c r="K67" s="6" t="s">
        <v>123</v>
      </c>
      <c r="L67" s="6"/>
      <c r="M67" s="6"/>
      <c r="N67" s="6"/>
      <c r="O67" s="6"/>
    </row>
    <row r="68" spans="1:15">
      <c r="A68" s="6"/>
      <c r="B68" s="6"/>
      <c r="C68" s="6" t="s">
        <v>123</v>
      </c>
      <c r="D68" s="6" t="s">
        <v>123</v>
      </c>
      <c r="E68" s="6" t="s">
        <v>123</v>
      </c>
      <c r="F68" s="6" t="s">
        <v>123</v>
      </c>
      <c r="G68" s="6" t="s">
        <v>123</v>
      </c>
      <c r="H68" s="6" t="s">
        <v>123</v>
      </c>
      <c r="I68" s="6" t="s">
        <v>123</v>
      </c>
      <c r="J68" s="6" t="s">
        <v>123</v>
      </c>
      <c r="K68" s="6" t="s">
        <v>123</v>
      </c>
      <c r="L68" s="6"/>
      <c r="M68" s="6"/>
      <c r="N68" s="6"/>
      <c r="O68" s="6"/>
    </row>
    <row r="69" spans="1:15">
      <c r="A69" s="6"/>
      <c r="B69" s="6"/>
      <c r="C69" s="6" t="s">
        <v>123</v>
      </c>
      <c r="D69" s="6" t="s">
        <v>123</v>
      </c>
      <c r="E69" s="6" t="s">
        <v>123</v>
      </c>
      <c r="F69" s="6" t="s">
        <v>123</v>
      </c>
      <c r="G69" s="6" t="s">
        <v>123</v>
      </c>
      <c r="H69" s="6" t="s">
        <v>123</v>
      </c>
      <c r="I69" s="6" t="s">
        <v>123</v>
      </c>
      <c r="J69" s="6" t="s">
        <v>123</v>
      </c>
      <c r="K69" s="6" t="s">
        <v>123</v>
      </c>
      <c r="L69" s="6"/>
      <c r="M69" s="6"/>
      <c r="N69" s="6"/>
      <c r="O69" s="6"/>
    </row>
    <row r="70" spans="1:15">
      <c r="A70" s="6"/>
      <c r="B70" s="6"/>
      <c r="C70" s="6" t="s">
        <v>123</v>
      </c>
      <c r="D70" s="6" t="s">
        <v>123</v>
      </c>
      <c r="E70" s="6" t="s">
        <v>123</v>
      </c>
      <c r="F70" s="6" t="s">
        <v>123</v>
      </c>
      <c r="G70" s="6" t="s">
        <v>123</v>
      </c>
      <c r="H70" s="6" t="s">
        <v>123</v>
      </c>
      <c r="I70" s="6" t="s">
        <v>123</v>
      </c>
      <c r="J70" s="6" t="s">
        <v>123</v>
      </c>
      <c r="K70" s="6" t="s">
        <v>123</v>
      </c>
      <c r="L70" s="6"/>
      <c r="M70" s="6"/>
      <c r="N70" s="6"/>
      <c r="O70" s="6"/>
    </row>
    <row r="71" spans="1:15">
      <c r="A71" s="6"/>
      <c r="B71" s="6"/>
      <c r="C71" s="6" t="s">
        <v>123</v>
      </c>
      <c r="D71" s="6" t="s">
        <v>123</v>
      </c>
      <c r="E71" s="6" t="s">
        <v>123</v>
      </c>
      <c r="F71" s="6" t="s">
        <v>123</v>
      </c>
      <c r="G71" s="6" t="s">
        <v>123</v>
      </c>
      <c r="H71" s="6" t="s">
        <v>123</v>
      </c>
      <c r="I71" s="6" t="s">
        <v>123</v>
      </c>
      <c r="J71" s="6" t="s">
        <v>123</v>
      </c>
      <c r="K71" s="6" t="s">
        <v>123</v>
      </c>
      <c r="L71" s="6"/>
      <c r="M71" s="6"/>
      <c r="N71" s="6"/>
      <c r="O71" s="6"/>
    </row>
    <row r="72" spans="1:15">
      <c r="A72" s="6"/>
      <c r="B72" s="6"/>
      <c r="C72" s="6" t="s">
        <v>123</v>
      </c>
      <c r="D72" s="6" t="s">
        <v>123</v>
      </c>
      <c r="E72" s="6" t="s">
        <v>123</v>
      </c>
      <c r="F72" s="6" t="s">
        <v>123</v>
      </c>
      <c r="G72" s="6" t="s">
        <v>123</v>
      </c>
      <c r="H72" s="6" t="s">
        <v>123</v>
      </c>
      <c r="I72" s="6" t="s">
        <v>123</v>
      </c>
      <c r="J72" s="6" t="s">
        <v>123</v>
      </c>
      <c r="K72" s="6" t="s">
        <v>123</v>
      </c>
      <c r="L72" s="6"/>
      <c r="M72" s="6"/>
      <c r="N72" s="6"/>
      <c r="O72" s="6"/>
    </row>
    <row r="73" spans="1:15">
      <c r="A73" s="6"/>
      <c r="B73" s="6"/>
      <c r="C73" s="6" t="s">
        <v>123</v>
      </c>
      <c r="D73" s="6" t="s">
        <v>123</v>
      </c>
      <c r="E73" s="6" t="s">
        <v>123</v>
      </c>
      <c r="F73" s="6" t="s">
        <v>123</v>
      </c>
      <c r="G73" s="6" t="s">
        <v>123</v>
      </c>
      <c r="H73" s="6" t="s">
        <v>123</v>
      </c>
      <c r="I73" s="6" t="s">
        <v>123</v>
      </c>
      <c r="J73" s="6" t="s">
        <v>123</v>
      </c>
      <c r="K73" s="6" t="s">
        <v>123</v>
      </c>
      <c r="L73" s="6"/>
      <c r="M73" s="6"/>
      <c r="N73" s="6"/>
      <c r="O73" s="6"/>
    </row>
    <row r="74" spans="1:15">
      <c r="A74" s="6"/>
      <c r="B74" s="6"/>
      <c r="C74" s="6" t="s">
        <v>123</v>
      </c>
      <c r="D74" s="6" t="s">
        <v>123</v>
      </c>
      <c r="E74" s="6" t="s">
        <v>123</v>
      </c>
      <c r="F74" s="6" t="s">
        <v>123</v>
      </c>
      <c r="G74" s="6" t="s">
        <v>123</v>
      </c>
      <c r="H74" s="6" t="s">
        <v>123</v>
      </c>
      <c r="I74" s="6" t="s">
        <v>123</v>
      </c>
      <c r="J74" s="6" t="s">
        <v>123</v>
      </c>
      <c r="K74" s="6" t="s">
        <v>123</v>
      </c>
      <c r="L74" s="6"/>
      <c r="M74" s="6"/>
      <c r="N74" s="6"/>
      <c r="O74" s="6"/>
    </row>
    <row r="75" spans="1:15">
      <c r="A75" s="6"/>
      <c r="B75" s="6"/>
      <c r="C75" s="6" t="s">
        <v>123</v>
      </c>
      <c r="D75" s="6" t="s">
        <v>123</v>
      </c>
      <c r="E75" s="6" t="s">
        <v>123</v>
      </c>
      <c r="F75" s="6" t="s">
        <v>123</v>
      </c>
      <c r="G75" s="6" t="s">
        <v>123</v>
      </c>
      <c r="H75" s="6" t="s">
        <v>123</v>
      </c>
      <c r="I75" s="6" t="s">
        <v>123</v>
      </c>
      <c r="J75" s="6" t="s">
        <v>123</v>
      </c>
      <c r="K75" s="6" t="s">
        <v>123</v>
      </c>
      <c r="L75" s="6"/>
      <c r="M75" s="6"/>
      <c r="N75" s="6"/>
      <c r="O75" s="6"/>
    </row>
    <row r="76" spans="1:15">
      <c r="A76" s="6"/>
      <c r="B76" s="6"/>
      <c r="C76" s="6" t="s">
        <v>123</v>
      </c>
      <c r="D76" s="6" t="s">
        <v>123</v>
      </c>
      <c r="E76" s="6" t="s">
        <v>123</v>
      </c>
      <c r="F76" s="6" t="s">
        <v>123</v>
      </c>
      <c r="G76" s="6" t="s">
        <v>123</v>
      </c>
      <c r="H76" s="6" t="s">
        <v>123</v>
      </c>
      <c r="I76" s="6" t="s">
        <v>123</v>
      </c>
      <c r="J76" s="6" t="s">
        <v>123</v>
      </c>
      <c r="K76" s="6" t="s">
        <v>123</v>
      </c>
      <c r="L76" s="6"/>
      <c r="M76" s="6"/>
      <c r="N76" s="6"/>
      <c r="O76" s="6"/>
    </row>
    <row r="77" spans="1:15">
      <c r="A77" s="6"/>
      <c r="B77" s="6"/>
      <c r="C77" s="6" t="s">
        <v>123</v>
      </c>
      <c r="D77" s="6" t="s">
        <v>123</v>
      </c>
      <c r="E77" s="6" t="s">
        <v>123</v>
      </c>
      <c r="F77" s="6" t="s">
        <v>123</v>
      </c>
      <c r="G77" s="6" t="s">
        <v>123</v>
      </c>
      <c r="H77" s="6" t="s">
        <v>123</v>
      </c>
      <c r="I77" s="6" t="s">
        <v>123</v>
      </c>
      <c r="J77" s="6" t="s">
        <v>123</v>
      </c>
      <c r="K77" s="6" t="s">
        <v>123</v>
      </c>
      <c r="L77" s="6"/>
      <c r="M77" s="6"/>
      <c r="N77" s="6"/>
      <c r="O77" s="6"/>
    </row>
    <row r="78" spans="1:15">
      <c r="A78" s="6"/>
      <c r="B78" s="6"/>
      <c r="C78" s="6" t="s">
        <v>123</v>
      </c>
      <c r="D78" s="6" t="s">
        <v>123</v>
      </c>
      <c r="E78" s="6" t="s">
        <v>123</v>
      </c>
      <c r="F78" s="6" t="s">
        <v>123</v>
      </c>
      <c r="G78" s="6" t="s">
        <v>123</v>
      </c>
      <c r="H78" s="6" t="s">
        <v>123</v>
      </c>
      <c r="I78" s="6" t="s">
        <v>123</v>
      </c>
      <c r="J78" s="6" t="s">
        <v>123</v>
      </c>
      <c r="K78" s="6" t="s">
        <v>123</v>
      </c>
      <c r="L78" s="6"/>
      <c r="M78" s="6"/>
      <c r="N78" s="6"/>
      <c r="O78" s="6"/>
    </row>
    <row r="79" spans="1:15">
      <c r="A79" s="6"/>
      <c r="B79" s="6"/>
      <c r="C79" s="6" t="s">
        <v>123</v>
      </c>
      <c r="D79" s="6" t="s">
        <v>123</v>
      </c>
      <c r="E79" s="6" t="s">
        <v>123</v>
      </c>
      <c r="F79" s="6" t="s">
        <v>123</v>
      </c>
      <c r="G79" s="6" t="s">
        <v>123</v>
      </c>
      <c r="H79" s="6" t="s">
        <v>123</v>
      </c>
      <c r="I79" s="6" t="s">
        <v>123</v>
      </c>
      <c r="J79" s="6" t="s">
        <v>123</v>
      </c>
      <c r="K79" s="6" t="s">
        <v>123</v>
      </c>
      <c r="L79" s="6"/>
      <c r="M79" s="6"/>
      <c r="N79" s="6"/>
      <c r="O79" s="6"/>
    </row>
    <row r="80" spans="1:15">
      <c r="A80" s="6"/>
      <c r="B80" s="6"/>
      <c r="C80" s="6" t="s">
        <v>123</v>
      </c>
      <c r="D80" s="6" t="s">
        <v>123</v>
      </c>
      <c r="E80" s="6" t="s">
        <v>123</v>
      </c>
      <c r="F80" s="6" t="s">
        <v>123</v>
      </c>
      <c r="G80" s="6" t="s">
        <v>123</v>
      </c>
      <c r="H80" s="6" t="s">
        <v>123</v>
      </c>
      <c r="I80" s="6" t="s">
        <v>123</v>
      </c>
      <c r="J80" s="6" t="s">
        <v>123</v>
      </c>
      <c r="K80" s="6" t="s">
        <v>123</v>
      </c>
      <c r="L80" s="6"/>
      <c r="M80" s="6"/>
      <c r="N80" s="6"/>
      <c r="O80" s="6"/>
    </row>
    <row r="81" spans="1:15">
      <c r="A81" s="6"/>
      <c r="B81" s="6"/>
      <c r="C81" s="6" t="s">
        <v>123</v>
      </c>
      <c r="D81" s="6" t="s">
        <v>123</v>
      </c>
      <c r="E81" s="6" t="s">
        <v>123</v>
      </c>
      <c r="F81" s="6" t="s">
        <v>123</v>
      </c>
      <c r="G81" s="6" t="s">
        <v>123</v>
      </c>
      <c r="H81" s="6" t="s">
        <v>123</v>
      </c>
      <c r="I81" s="6" t="s">
        <v>123</v>
      </c>
      <c r="J81" s="6" t="s">
        <v>123</v>
      </c>
      <c r="K81" s="6" t="s">
        <v>123</v>
      </c>
      <c r="L81" s="6"/>
      <c r="M81" s="6"/>
      <c r="N81" s="6"/>
      <c r="O81" s="6"/>
    </row>
    <row r="82" spans="1:15">
      <c r="A82" s="6"/>
      <c r="B82" s="6"/>
      <c r="C82" s="6" t="s">
        <v>123</v>
      </c>
      <c r="D82" s="6" t="s">
        <v>123</v>
      </c>
      <c r="E82" s="6" t="s">
        <v>123</v>
      </c>
      <c r="F82" s="6" t="s">
        <v>123</v>
      </c>
      <c r="G82" s="6" t="s">
        <v>123</v>
      </c>
      <c r="H82" s="6" t="s">
        <v>123</v>
      </c>
      <c r="I82" s="6" t="s">
        <v>123</v>
      </c>
      <c r="J82" s="6" t="s">
        <v>123</v>
      </c>
      <c r="K82" s="6" t="s">
        <v>123</v>
      </c>
      <c r="L82" s="6"/>
      <c r="M82" s="6"/>
      <c r="N82" s="6"/>
      <c r="O82" s="6"/>
    </row>
    <row r="83" spans="1:15">
      <c r="A83" s="6"/>
      <c r="B83" s="6"/>
      <c r="C83" s="6" t="s">
        <v>123</v>
      </c>
      <c r="D83" s="6" t="s">
        <v>123</v>
      </c>
      <c r="E83" s="6" t="s">
        <v>123</v>
      </c>
      <c r="F83" s="6" t="s">
        <v>123</v>
      </c>
      <c r="G83" s="6" t="s">
        <v>123</v>
      </c>
      <c r="H83" s="6" t="s">
        <v>123</v>
      </c>
      <c r="I83" s="6" t="s">
        <v>123</v>
      </c>
      <c r="J83" s="6" t="s">
        <v>123</v>
      </c>
      <c r="K83" s="6" t="s">
        <v>123</v>
      </c>
      <c r="L83" s="6"/>
      <c r="M83" s="6"/>
      <c r="N83" s="6"/>
      <c r="O83" s="6"/>
    </row>
    <row r="84" spans="1:15">
      <c r="A84" s="6"/>
      <c r="B84" s="6"/>
      <c r="C84" s="6" t="s">
        <v>123</v>
      </c>
      <c r="D84" s="6" t="s">
        <v>123</v>
      </c>
      <c r="E84" s="6" t="s">
        <v>123</v>
      </c>
      <c r="F84" s="6" t="s">
        <v>123</v>
      </c>
      <c r="G84" s="6" t="s">
        <v>123</v>
      </c>
      <c r="H84" s="6" t="s">
        <v>123</v>
      </c>
      <c r="I84" s="6" t="s">
        <v>123</v>
      </c>
      <c r="J84" s="6" t="s">
        <v>123</v>
      </c>
      <c r="K84" s="6" t="s">
        <v>123</v>
      </c>
      <c r="L84" s="6"/>
      <c r="M84" s="6"/>
      <c r="N84" s="6"/>
      <c r="O84" s="6"/>
    </row>
    <row r="85" spans="1:15">
      <c r="A85" s="6"/>
      <c r="B85" s="6"/>
      <c r="C85" s="6" t="s">
        <v>123</v>
      </c>
      <c r="D85" s="6" t="s">
        <v>123</v>
      </c>
      <c r="E85" s="6" t="s">
        <v>123</v>
      </c>
      <c r="F85" s="6" t="s">
        <v>123</v>
      </c>
      <c r="G85" s="6" t="s">
        <v>123</v>
      </c>
      <c r="H85" s="6" t="s">
        <v>123</v>
      </c>
      <c r="I85" s="6" t="s">
        <v>123</v>
      </c>
      <c r="J85" s="6" t="s">
        <v>123</v>
      </c>
      <c r="K85" s="6" t="s">
        <v>123</v>
      </c>
      <c r="L85" s="6"/>
      <c r="M85" s="6"/>
      <c r="N85" s="6"/>
      <c r="O85" s="6"/>
    </row>
    <row r="86" spans="1:15">
      <c r="A86" s="6"/>
      <c r="B86" s="6"/>
      <c r="C86" s="6" t="s">
        <v>123</v>
      </c>
      <c r="D86" s="6" t="s">
        <v>123</v>
      </c>
      <c r="E86" s="6" t="s">
        <v>123</v>
      </c>
      <c r="F86" s="6" t="s">
        <v>123</v>
      </c>
      <c r="G86" s="6" t="s">
        <v>123</v>
      </c>
      <c r="H86" s="6" t="s">
        <v>123</v>
      </c>
      <c r="I86" s="6" t="s">
        <v>123</v>
      </c>
      <c r="J86" s="6" t="s">
        <v>123</v>
      </c>
      <c r="K86" s="6" t="s">
        <v>123</v>
      </c>
      <c r="L86" s="6"/>
      <c r="M86" s="6"/>
      <c r="N86" s="6"/>
      <c r="O86" s="6"/>
    </row>
    <row r="87" spans="1:15">
      <c r="A87" s="6"/>
      <c r="B87" s="6"/>
      <c r="C87" s="6" t="s">
        <v>123</v>
      </c>
      <c r="D87" s="6" t="s">
        <v>123</v>
      </c>
      <c r="E87" s="6" t="s">
        <v>123</v>
      </c>
      <c r="F87" s="6" t="s">
        <v>123</v>
      </c>
      <c r="G87" s="6" t="s">
        <v>123</v>
      </c>
      <c r="H87" s="6" t="s">
        <v>123</v>
      </c>
      <c r="I87" s="6" t="s">
        <v>123</v>
      </c>
      <c r="J87" s="6" t="s">
        <v>123</v>
      </c>
      <c r="K87" s="6" t="s">
        <v>123</v>
      </c>
      <c r="L87" s="6"/>
      <c r="M87" s="6"/>
      <c r="N87" s="6"/>
      <c r="O87" s="6"/>
    </row>
    <row r="88" spans="1:15">
      <c r="A88" s="6"/>
      <c r="B88" s="6"/>
      <c r="C88" s="6" t="s">
        <v>123</v>
      </c>
      <c r="D88" s="6" t="s">
        <v>123</v>
      </c>
      <c r="E88" s="6" t="s">
        <v>123</v>
      </c>
      <c r="F88" s="6" t="s">
        <v>123</v>
      </c>
      <c r="G88" s="6" t="s">
        <v>123</v>
      </c>
      <c r="H88" s="6" t="s">
        <v>123</v>
      </c>
      <c r="I88" s="6" t="s">
        <v>123</v>
      </c>
      <c r="J88" s="6" t="s">
        <v>123</v>
      </c>
      <c r="K88" s="6" t="s">
        <v>123</v>
      </c>
      <c r="L88" s="6"/>
      <c r="M88" s="6"/>
      <c r="N88" s="6"/>
      <c r="O88" s="6"/>
    </row>
    <row r="89" spans="1:15">
      <c r="A89" s="6"/>
      <c r="B89" s="6"/>
      <c r="C89" s="6" t="s">
        <v>123</v>
      </c>
      <c r="D89" s="6" t="s">
        <v>123</v>
      </c>
      <c r="E89" s="6" t="s">
        <v>123</v>
      </c>
      <c r="F89" s="6" t="s">
        <v>123</v>
      </c>
      <c r="G89" s="6" t="s">
        <v>123</v>
      </c>
      <c r="H89" s="6" t="s">
        <v>123</v>
      </c>
      <c r="I89" s="6" t="s">
        <v>123</v>
      </c>
      <c r="J89" s="6" t="s">
        <v>123</v>
      </c>
      <c r="K89" s="6" t="s">
        <v>123</v>
      </c>
      <c r="L89" s="6"/>
      <c r="M89" s="6"/>
      <c r="N89" s="6"/>
      <c r="O89" s="6"/>
    </row>
    <row r="90" spans="1:15">
      <c r="A90" s="6"/>
      <c r="B90" s="6"/>
      <c r="C90" s="6" t="s">
        <v>123</v>
      </c>
      <c r="D90" s="6" t="s">
        <v>123</v>
      </c>
      <c r="E90" s="6" t="s">
        <v>123</v>
      </c>
      <c r="F90" s="6" t="s">
        <v>123</v>
      </c>
      <c r="G90" s="6" t="s">
        <v>123</v>
      </c>
      <c r="H90" s="6" t="s">
        <v>123</v>
      </c>
      <c r="I90" s="6" t="s">
        <v>123</v>
      </c>
      <c r="J90" s="6" t="s">
        <v>123</v>
      </c>
      <c r="K90" s="6" t="s">
        <v>123</v>
      </c>
      <c r="L90" s="6"/>
      <c r="M90" s="6"/>
      <c r="N90" s="6"/>
      <c r="O90" s="6"/>
    </row>
    <row r="91" spans="1:15">
      <c r="A91" s="6"/>
      <c r="B91" s="6"/>
      <c r="C91" s="6" t="s">
        <v>123</v>
      </c>
      <c r="D91" s="6" t="s">
        <v>123</v>
      </c>
      <c r="E91" s="6" t="s">
        <v>123</v>
      </c>
      <c r="F91" s="6" t="s">
        <v>123</v>
      </c>
      <c r="G91" s="6" t="s">
        <v>123</v>
      </c>
      <c r="H91" s="6" t="s">
        <v>123</v>
      </c>
      <c r="I91" s="6" t="s">
        <v>123</v>
      </c>
      <c r="J91" s="6" t="s">
        <v>123</v>
      </c>
      <c r="K91" s="6" t="s">
        <v>123</v>
      </c>
      <c r="L91" s="6"/>
      <c r="M91" s="6"/>
      <c r="N91" s="6"/>
      <c r="O91" s="6"/>
    </row>
    <row r="92" spans="1:15">
      <c r="A92" s="6"/>
      <c r="B92" s="6"/>
      <c r="C92" s="6" t="s">
        <v>123</v>
      </c>
      <c r="D92" s="6" t="s">
        <v>123</v>
      </c>
      <c r="E92" s="6" t="s">
        <v>123</v>
      </c>
      <c r="F92" s="6" t="s">
        <v>123</v>
      </c>
      <c r="G92" s="6" t="s">
        <v>123</v>
      </c>
      <c r="H92" s="6" t="s">
        <v>123</v>
      </c>
      <c r="I92" s="6" t="s">
        <v>123</v>
      </c>
      <c r="J92" s="6" t="s">
        <v>123</v>
      </c>
      <c r="K92" s="6" t="s">
        <v>123</v>
      </c>
      <c r="L92" s="6"/>
      <c r="M92" s="6"/>
      <c r="N92" s="6"/>
      <c r="O92" s="6"/>
    </row>
    <row r="93" spans="1:15">
      <c r="A93" s="6"/>
      <c r="B93" s="6"/>
      <c r="C93" s="6" t="s">
        <v>123</v>
      </c>
      <c r="D93" s="6" t="s">
        <v>123</v>
      </c>
      <c r="E93" s="6" t="s">
        <v>123</v>
      </c>
      <c r="F93" s="6" t="s">
        <v>123</v>
      </c>
      <c r="G93" s="6" t="s">
        <v>123</v>
      </c>
      <c r="H93" s="6" t="s">
        <v>123</v>
      </c>
      <c r="I93" s="6" t="s">
        <v>123</v>
      </c>
      <c r="J93" s="6" t="s">
        <v>123</v>
      </c>
      <c r="K93" s="6" t="s">
        <v>123</v>
      </c>
      <c r="L93" s="6"/>
      <c r="M93" s="6"/>
      <c r="N93" s="6"/>
      <c r="O93" s="6"/>
    </row>
    <row r="94" spans="1:15">
      <c r="A94" s="6"/>
      <c r="B94" s="6"/>
      <c r="C94" s="6" t="s">
        <v>123</v>
      </c>
      <c r="D94" s="6" t="s">
        <v>123</v>
      </c>
      <c r="E94" s="6" t="s">
        <v>123</v>
      </c>
      <c r="F94" s="6" t="s">
        <v>123</v>
      </c>
      <c r="G94" s="6" t="s">
        <v>123</v>
      </c>
      <c r="H94" s="6" t="s">
        <v>123</v>
      </c>
      <c r="I94" s="6" t="s">
        <v>123</v>
      </c>
      <c r="J94" s="6" t="s">
        <v>123</v>
      </c>
      <c r="K94" s="6" t="s">
        <v>123</v>
      </c>
      <c r="L94" s="6"/>
      <c r="M94" s="6"/>
      <c r="N94" s="6"/>
      <c r="O94" s="6"/>
    </row>
    <row r="95" spans="1:15">
      <c r="A95" s="6"/>
      <c r="B95" s="6"/>
      <c r="C95" s="6" t="s">
        <v>123</v>
      </c>
      <c r="D95" s="6" t="s">
        <v>123</v>
      </c>
      <c r="E95" s="6" t="s">
        <v>123</v>
      </c>
      <c r="F95" s="6" t="s">
        <v>123</v>
      </c>
      <c r="G95" s="6" t="s">
        <v>123</v>
      </c>
      <c r="H95" s="6" t="s">
        <v>123</v>
      </c>
      <c r="I95" s="6" t="s">
        <v>123</v>
      </c>
      <c r="J95" s="6" t="s">
        <v>123</v>
      </c>
      <c r="K95" s="6" t="s">
        <v>123</v>
      </c>
      <c r="L95" s="6"/>
      <c r="M95" s="6"/>
      <c r="N95" s="6"/>
      <c r="O95" s="6"/>
    </row>
    <row r="96" spans="1:15">
      <c r="A96" s="6"/>
      <c r="B96" s="6"/>
      <c r="C96" s="6" t="s">
        <v>123</v>
      </c>
      <c r="D96" s="6" t="s">
        <v>123</v>
      </c>
      <c r="E96" s="6" t="s">
        <v>123</v>
      </c>
      <c r="F96" s="6" t="s">
        <v>123</v>
      </c>
      <c r="G96" s="6" t="s">
        <v>123</v>
      </c>
      <c r="H96" s="6" t="s">
        <v>123</v>
      </c>
      <c r="I96" s="6" t="s">
        <v>123</v>
      </c>
      <c r="J96" s="6" t="s">
        <v>123</v>
      </c>
      <c r="K96" s="6" t="s">
        <v>123</v>
      </c>
      <c r="L96" s="6"/>
      <c r="M96" s="6"/>
      <c r="N96" s="6"/>
      <c r="O96" s="6"/>
    </row>
    <row r="97" spans="1:15">
      <c r="A97" s="6"/>
      <c r="B97" s="6"/>
      <c r="C97" s="6" t="s">
        <v>123</v>
      </c>
      <c r="D97" s="6" t="s">
        <v>123</v>
      </c>
      <c r="E97" s="6" t="s">
        <v>123</v>
      </c>
      <c r="F97" s="6" t="s">
        <v>123</v>
      </c>
      <c r="G97" s="6" t="s">
        <v>123</v>
      </c>
      <c r="H97" s="6" t="s">
        <v>123</v>
      </c>
      <c r="I97" s="6" t="s">
        <v>123</v>
      </c>
      <c r="J97" s="6" t="s">
        <v>123</v>
      </c>
      <c r="K97" s="6" t="s">
        <v>123</v>
      </c>
      <c r="L97" s="6"/>
      <c r="M97" s="6"/>
      <c r="N97" s="6"/>
      <c r="O97" s="6"/>
    </row>
    <row r="98" spans="1:15">
      <c r="A98" s="6"/>
      <c r="B98" s="6"/>
      <c r="C98" s="6" t="s">
        <v>123</v>
      </c>
      <c r="D98" s="6" t="s">
        <v>123</v>
      </c>
      <c r="E98" s="6" t="s">
        <v>123</v>
      </c>
      <c r="F98" s="6" t="s">
        <v>123</v>
      </c>
      <c r="G98" s="6" t="s">
        <v>123</v>
      </c>
      <c r="H98" s="6" t="s">
        <v>123</v>
      </c>
      <c r="I98" s="6" t="s">
        <v>123</v>
      </c>
      <c r="J98" s="6" t="s">
        <v>123</v>
      </c>
      <c r="K98" s="6" t="s">
        <v>123</v>
      </c>
      <c r="L98" s="6"/>
      <c r="M98" s="6"/>
      <c r="N98" s="6"/>
      <c r="O98" s="6"/>
    </row>
    <row r="99" spans="1:15">
      <c r="A99" s="6"/>
      <c r="B99" s="6"/>
      <c r="C99" s="6" t="s">
        <v>123</v>
      </c>
      <c r="D99" s="6" t="s">
        <v>123</v>
      </c>
      <c r="E99" s="6" t="s">
        <v>123</v>
      </c>
      <c r="F99" s="6" t="s">
        <v>123</v>
      </c>
      <c r="G99" s="6" t="s">
        <v>123</v>
      </c>
      <c r="H99" s="6" t="s">
        <v>123</v>
      </c>
      <c r="I99" s="6" t="s">
        <v>123</v>
      </c>
      <c r="J99" s="6" t="s">
        <v>123</v>
      </c>
      <c r="K99" s="6" t="s">
        <v>123</v>
      </c>
      <c r="L99" s="6"/>
      <c r="M99" s="6"/>
      <c r="N99" s="6"/>
      <c r="O99" s="6"/>
    </row>
    <row r="100" spans="1:15">
      <c r="A100" s="6"/>
      <c r="B100" s="6"/>
      <c r="C100" s="6" t="s">
        <v>123</v>
      </c>
      <c r="D100" s="6" t="s">
        <v>123</v>
      </c>
      <c r="E100" s="6" t="s">
        <v>123</v>
      </c>
      <c r="F100" s="6" t="s">
        <v>123</v>
      </c>
      <c r="G100" s="6" t="s">
        <v>123</v>
      </c>
      <c r="H100" s="6" t="s">
        <v>123</v>
      </c>
      <c r="I100" s="6" t="s">
        <v>123</v>
      </c>
      <c r="J100" s="6" t="s">
        <v>123</v>
      </c>
      <c r="K100" s="6" t="s">
        <v>123</v>
      </c>
      <c r="L100" s="6"/>
      <c r="M100" s="6"/>
      <c r="N100" s="6"/>
      <c r="O100" s="6"/>
    </row>
    <row r="101" spans="1:15">
      <c r="A101" s="6"/>
      <c r="B101" s="6"/>
      <c r="C101" s="6" t="s">
        <v>123</v>
      </c>
      <c r="D101" s="6" t="s">
        <v>123</v>
      </c>
      <c r="E101" s="6" t="s">
        <v>123</v>
      </c>
      <c r="F101" s="6" t="s">
        <v>123</v>
      </c>
      <c r="G101" s="6" t="s">
        <v>123</v>
      </c>
      <c r="H101" s="6" t="s">
        <v>123</v>
      </c>
      <c r="I101" s="6" t="s">
        <v>123</v>
      </c>
      <c r="J101" s="6" t="s">
        <v>123</v>
      </c>
      <c r="K101" s="6" t="s">
        <v>123</v>
      </c>
      <c r="L101" s="6"/>
      <c r="M101" s="6"/>
      <c r="N101" s="6"/>
      <c r="O101" s="6"/>
    </row>
    <row r="102" spans="1:15">
      <c r="A102" s="6"/>
      <c r="B102" s="6"/>
      <c r="C102" s="6" t="s">
        <v>123</v>
      </c>
      <c r="D102" s="6" t="s">
        <v>123</v>
      </c>
      <c r="E102" s="6" t="s">
        <v>123</v>
      </c>
      <c r="F102" s="6" t="s">
        <v>123</v>
      </c>
      <c r="G102" s="6" t="s">
        <v>123</v>
      </c>
      <c r="H102" s="6" t="s">
        <v>123</v>
      </c>
      <c r="I102" s="6" t="s">
        <v>123</v>
      </c>
      <c r="J102" s="6" t="s">
        <v>123</v>
      </c>
      <c r="K102" s="6" t="s">
        <v>123</v>
      </c>
      <c r="L102" s="6"/>
      <c r="M102" s="6"/>
      <c r="N102" s="6"/>
      <c r="O102" s="6"/>
    </row>
    <row r="103" spans="1:15">
      <c r="A103" s="6"/>
      <c r="B103" s="6"/>
      <c r="C103" s="6" t="s">
        <v>123</v>
      </c>
      <c r="D103" s="6" t="s">
        <v>123</v>
      </c>
      <c r="E103" s="6" t="s">
        <v>123</v>
      </c>
      <c r="F103" s="6" t="s">
        <v>123</v>
      </c>
      <c r="G103" s="6" t="s">
        <v>123</v>
      </c>
      <c r="H103" s="6" t="s">
        <v>123</v>
      </c>
      <c r="I103" s="6" t="s">
        <v>123</v>
      </c>
      <c r="J103" s="6" t="s">
        <v>123</v>
      </c>
      <c r="K103" s="6" t="s">
        <v>123</v>
      </c>
      <c r="L103" s="6"/>
      <c r="M103" s="6"/>
      <c r="N103" s="6"/>
      <c r="O103" s="6"/>
    </row>
    <row r="104" spans="1:15">
      <c r="A104" s="6"/>
      <c r="B104" s="6"/>
      <c r="C104" s="6" t="s">
        <v>123</v>
      </c>
      <c r="D104" s="6" t="s">
        <v>123</v>
      </c>
      <c r="E104" s="6" t="s">
        <v>123</v>
      </c>
      <c r="F104" s="6" t="s">
        <v>123</v>
      </c>
      <c r="G104" s="6" t="s">
        <v>123</v>
      </c>
      <c r="H104" s="6" t="s">
        <v>123</v>
      </c>
      <c r="I104" s="6" t="s">
        <v>123</v>
      </c>
      <c r="J104" s="6" t="s">
        <v>123</v>
      </c>
      <c r="K104" s="6" t="s">
        <v>123</v>
      </c>
      <c r="L104" s="6"/>
      <c r="M104" s="6"/>
      <c r="N104" s="6"/>
      <c r="O104" s="6"/>
    </row>
    <row r="105" spans="1:15">
      <c r="A105" s="6"/>
      <c r="B105" s="6"/>
      <c r="C105" s="6" t="s">
        <v>123</v>
      </c>
      <c r="D105" s="6" t="s">
        <v>123</v>
      </c>
      <c r="E105" s="6" t="s">
        <v>123</v>
      </c>
      <c r="F105" s="6" t="s">
        <v>123</v>
      </c>
      <c r="G105" s="6" t="s">
        <v>123</v>
      </c>
      <c r="H105" s="6" t="s">
        <v>123</v>
      </c>
      <c r="I105" s="6" t="s">
        <v>123</v>
      </c>
      <c r="J105" s="6" t="s">
        <v>123</v>
      </c>
      <c r="K105" s="6" t="s">
        <v>123</v>
      </c>
      <c r="L105" s="6"/>
      <c r="M105" s="6"/>
      <c r="N105" s="6"/>
      <c r="O105" s="6"/>
    </row>
    <row r="106" spans="1:15">
      <c r="A106" s="6"/>
      <c r="B106" s="6"/>
      <c r="C106" s="6" t="s">
        <v>123</v>
      </c>
      <c r="D106" s="6" t="s">
        <v>123</v>
      </c>
      <c r="E106" s="6" t="s">
        <v>123</v>
      </c>
      <c r="F106" s="6" t="s">
        <v>123</v>
      </c>
      <c r="G106" s="6" t="s">
        <v>123</v>
      </c>
      <c r="H106" s="6" t="s">
        <v>123</v>
      </c>
      <c r="I106" s="6" t="s">
        <v>123</v>
      </c>
      <c r="J106" s="6" t="s">
        <v>123</v>
      </c>
      <c r="K106" s="6" t="s">
        <v>123</v>
      </c>
      <c r="L106" s="6"/>
      <c r="M106" s="6"/>
      <c r="N106" s="6"/>
      <c r="O106" s="6"/>
    </row>
    <row r="107" spans="1:15">
      <c r="A107" s="6"/>
      <c r="B107" s="6"/>
      <c r="C107" s="6" t="s">
        <v>123</v>
      </c>
      <c r="D107" s="6" t="s">
        <v>123</v>
      </c>
      <c r="E107" s="6" t="s">
        <v>123</v>
      </c>
      <c r="F107" s="6" t="s">
        <v>123</v>
      </c>
      <c r="G107" s="6" t="s">
        <v>123</v>
      </c>
      <c r="H107" s="6" t="s">
        <v>123</v>
      </c>
      <c r="I107" s="6" t="s">
        <v>123</v>
      </c>
      <c r="J107" s="6" t="s">
        <v>123</v>
      </c>
      <c r="K107" s="6" t="s">
        <v>123</v>
      </c>
      <c r="L107" s="6"/>
      <c r="M107" s="6"/>
      <c r="N107" s="6"/>
      <c r="O107" s="6"/>
    </row>
    <row r="108" spans="1:15">
      <c r="A108" s="6"/>
      <c r="B108" s="6"/>
      <c r="C108" s="6" t="s">
        <v>123</v>
      </c>
      <c r="D108" s="6" t="s">
        <v>123</v>
      </c>
      <c r="E108" s="6" t="s">
        <v>123</v>
      </c>
      <c r="F108" s="6" t="s">
        <v>123</v>
      </c>
      <c r="G108" s="6" t="s">
        <v>123</v>
      </c>
      <c r="H108" s="6" t="s">
        <v>123</v>
      </c>
      <c r="I108" s="6" t="s">
        <v>123</v>
      </c>
      <c r="J108" s="6" t="s">
        <v>123</v>
      </c>
      <c r="K108" s="6" t="s">
        <v>123</v>
      </c>
      <c r="L108" s="6"/>
      <c r="M108" s="6"/>
      <c r="N108" s="6"/>
      <c r="O108" s="6"/>
    </row>
    <row r="109" spans="1:15">
      <c r="A109" s="6"/>
      <c r="B109" s="6"/>
      <c r="C109" s="6" t="s">
        <v>123</v>
      </c>
      <c r="D109" s="6" t="s">
        <v>123</v>
      </c>
      <c r="E109" s="6" t="s">
        <v>123</v>
      </c>
      <c r="F109" s="6" t="s">
        <v>123</v>
      </c>
      <c r="G109" s="6" t="s">
        <v>123</v>
      </c>
      <c r="H109" s="6" t="s">
        <v>123</v>
      </c>
      <c r="I109" s="6" t="s">
        <v>123</v>
      </c>
      <c r="J109" s="6" t="s">
        <v>123</v>
      </c>
      <c r="K109" s="6" t="s">
        <v>123</v>
      </c>
      <c r="L109" s="6"/>
      <c r="M109" s="6"/>
      <c r="N109" s="6"/>
      <c r="O109" s="6"/>
    </row>
    <row r="110" spans="1:15">
      <c r="A110" s="6"/>
      <c r="B110" s="6"/>
      <c r="C110" s="6" t="s">
        <v>123</v>
      </c>
      <c r="D110" s="6" t="s">
        <v>123</v>
      </c>
      <c r="E110" s="6" t="s">
        <v>123</v>
      </c>
      <c r="F110" s="6" t="s">
        <v>123</v>
      </c>
      <c r="G110" s="6" t="s">
        <v>123</v>
      </c>
      <c r="H110" s="6" t="s">
        <v>123</v>
      </c>
      <c r="I110" s="6" t="s">
        <v>123</v>
      </c>
      <c r="J110" s="6" t="s">
        <v>123</v>
      </c>
      <c r="K110" s="6" t="s">
        <v>123</v>
      </c>
      <c r="L110" s="6"/>
      <c r="M110" s="6"/>
      <c r="N110" s="6"/>
      <c r="O110" s="6"/>
    </row>
    <row r="111" spans="1:15">
      <c r="A111" s="6"/>
      <c r="B111" s="6"/>
      <c r="C111" s="6" t="s">
        <v>123</v>
      </c>
      <c r="D111" s="6" t="s">
        <v>123</v>
      </c>
      <c r="E111" s="6" t="s">
        <v>123</v>
      </c>
      <c r="F111" s="6" t="s">
        <v>123</v>
      </c>
      <c r="G111" s="6" t="s">
        <v>123</v>
      </c>
      <c r="H111" s="6" t="s">
        <v>123</v>
      </c>
      <c r="I111" s="6" t="s">
        <v>123</v>
      </c>
      <c r="J111" s="6" t="s">
        <v>123</v>
      </c>
      <c r="K111" s="6" t="s">
        <v>123</v>
      </c>
      <c r="L111" s="6"/>
      <c r="M111" s="6"/>
      <c r="N111" s="6"/>
      <c r="O111" s="6"/>
    </row>
    <row r="112" spans="1:15">
      <c r="A112" s="6"/>
      <c r="B112" s="6"/>
      <c r="C112" s="6" t="s">
        <v>123</v>
      </c>
      <c r="D112" s="6" t="s">
        <v>123</v>
      </c>
      <c r="E112" s="6" t="s">
        <v>123</v>
      </c>
      <c r="F112" s="6" t="s">
        <v>123</v>
      </c>
      <c r="G112" s="6" t="s">
        <v>123</v>
      </c>
      <c r="H112" s="6" t="s">
        <v>123</v>
      </c>
      <c r="I112" s="6" t="s">
        <v>123</v>
      </c>
      <c r="J112" s="6" t="s">
        <v>123</v>
      </c>
      <c r="K112" s="6" t="s">
        <v>123</v>
      </c>
      <c r="L112" s="6"/>
      <c r="M112" s="6"/>
      <c r="N112" s="6"/>
      <c r="O112" s="6"/>
    </row>
    <row r="113" spans="1:15">
      <c r="A113" s="6"/>
      <c r="B113" s="6"/>
      <c r="C113" s="6" t="s">
        <v>123</v>
      </c>
      <c r="D113" s="6" t="s">
        <v>123</v>
      </c>
      <c r="E113" s="6" t="s">
        <v>123</v>
      </c>
      <c r="F113" s="6" t="s">
        <v>123</v>
      </c>
      <c r="G113" s="6" t="s">
        <v>123</v>
      </c>
      <c r="H113" s="6" t="s">
        <v>123</v>
      </c>
      <c r="I113" s="6" t="s">
        <v>123</v>
      </c>
      <c r="J113" s="6" t="s">
        <v>123</v>
      </c>
      <c r="K113" s="6" t="s">
        <v>123</v>
      </c>
      <c r="L113" s="6"/>
      <c r="M113" s="6"/>
      <c r="N113" s="6"/>
      <c r="O113" s="6"/>
    </row>
    <row r="114" spans="1:15">
      <c r="A114" s="6"/>
      <c r="B114" s="6"/>
      <c r="C114" s="6" t="s">
        <v>123</v>
      </c>
      <c r="D114" s="6" t="s">
        <v>123</v>
      </c>
      <c r="E114" s="6" t="s">
        <v>123</v>
      </c>
      <c r="F114" s="6" t="s">
        <v>123</v>
      </c>
      <c r="G114" s="6" t="s">
        <v>123</v>
      </c>
      <c r="H114" s="6" t="s">
        <v>123</v>
      </c>
      <c r="I114" s="6" t="s">
        <v>123</v>
      </c>
      <c r="J114" s="6" t="s">
        <v>123</v>
      </c>
      <c r="K114" s="6" t="s">
        <v>123</v>
      </c>
      <c r="L114" s="6"/>
      <c r="M114" s="6"/>
      <c r="N114" s="6"/>
      <c r="O114" s="6"/>
    </row>
    <row r="115" spans="1:15">
      <c r="A115" s="6"/>
      <c r="B115" s="6"/>
      <c r="C115" s="6" t="s">
        <v>123</v>
      </c>
      <c r="D115" s="6" t="s">
        <v>123</v>
      </c>
      <c r="E115" s="6" t="s">
        <v>123</v>
      </c>
      <c r="F115" s="6" t="s">
        <v>123</v>
      </c>
      <c r="G115" s="6" t="s">
        <v>123</v>
      </c>
      <c r="H115" s="6" t="s">
        <v>123</v>
      </c>
      <c r="I115" s="6" t="s">
        <v>123</v>
      </c>
      <c r="J115" s="6" t="s">
        <v>123</v>
      </c>
      <c r="K115" s="6" t="s">
        <v>123</v>
      </c>
      <c r="L115" s="6"/>
      <c r="M115" s="6"/>
      <c r="N115" s="6"/>
      <c r="O115" s="6"/>
    </row>
    <row r="116" spans="1:15">
      <c r="A116" s="6"/>
      <c r="B116" s="6"/>
      <c r="C116" s="6" t="s">
        <v>123</v>
      </c>
      <c r="D116" s="6" t="s">
        <v>123</v>
      </c>
      <c r="E116" s="6" t="s">
        <v>123</v>
      </c>
      <c r="F116" s="6" t="s">
        <v>123</v>
      </c>
      <c r="G116" s="6" t="s">
        <v>123</v>
      </c>
      <c r="H116" s="6" t="s">
        <v>123</v>
      </c>
      <c r="I116" s="6" t="s">
        <v>123</v>
      </c>
      <c r="J116" s="6" t="s">
        <v>123</v>
      </c>
      <c r="K116" s="6" t="s">
        <v>123</v>
      </c>
      <c r="L116" s="6"/>
      <c r="M116" s="6"/>
      <c r="N116" s="6"/>
      <c r="O116" s="6"/>
    </row>
    <row r="117" spans="1:15">
      <c r="A117" s="6"/>
      <c r="B117" s="6"/>
      <c r="C117" s="6" t="s">
        <v>123</v>
      </c>
      <c r="D117" s="6" t="s">
        <v>123</v>
      </c>
      <c r="E117" s="6" t="s">
        <v>123</v>
      </c>
      <c r="F117" s="6" t="s">
        <v>123</v>
      </c>
      <c r="G117" s="6" t="s">
        <v>123</v>
      </c>
      <c r="H117" s="6" t="s">
        <v>123</v>
      </c>
      <c r="I117" s="6" t="s">
        <v>123</v>
      </c>
      <c r="J117" s="6" t="s">
        <v>123</v>
      </c>
      <c r="K117" s="6" t="s">
        <v>123</v>
      </c>
      <c r="L117" s="6"/>
      <c r="M117" s="6"/>
      <c r="N117" s="6"/>
      <c r="O117" s="6"/>
    </row>
    <row r="118" spans="1:15">
      <c r="A118" s="6"/>
      <c r="B118" s="6"/>
      <c r="C118" s="6" t="s">
        <v>123</v>
      </c>
      <c r="D118" s="6" t="s">
        <v>123</v>
      </c>
      <c r="E118" s="6" t="s">
        <v>123</v>
      </c>
      <c r="F118" s="6" t="s">
        <v>123</v>
      </c>
      <c r="G118" s="6" t="s">
        <v>123</v>
      </c>
      <c r="H118" s="6" t="s">
        <v>123</v>
      </c>
      <c r="I118" s="6" t="s">
        <v>123</v>
      </c>
      <c r="J118" s="6" t="s">
        <v>123</v>
      </c>
      <c r="K118" s="6" t="s">
        <v>123</v>
      </c>
      <c r="L118" s="6"/>
      <c r="M118" s="6"/>
      <c r="N118" s="6"/>
      <c r="O118" s="6"/>
    </row>
    <row r="119" spans="1:15">
      <c r="A119" s="6"/>
      <c r="B119" s="6"/>
      <c r="C119" s="6" t="s">
        <v>123</v>
      </c>
      <c r="D119" s="6" t="s">
        <v>123</v>
      </c>
      <c r="E119" s="6" t="s">
        <v>123</v>
      </c>
      <c r="F119" s="6" t="s">
        <v>123</v>
      </c>
      <c r="G119" s="6" t="s">
        <v>123</v>
      </c>
      <c r="H119" s="6" t="s">
        <v>123</v>
      </c>
      <c r="I119" s="6" t="s">
        <v>123</v>
      </c>
      <c r="J119" s="6" t="s">
        <v>123</v>
      </c>
      <c r="K119" s="6" t="s">
        <v>123</v>
      </c>
      <c r="L119" s="6"/>
      <c r="M119" s="6"/>
      <c r="N119" s="6"/>
      <c r="O119" s="6"/>
    </row>
    <row r="120" spans="1:15">
      <c r="A120" s="6"/>
      <c r="B120" s="6"/>
      <c r="C120" s="6" t="s">
        <v>123</v>
      </c>
      <c r="D120" s="6" t="s">
        <v>123</v>
      </c>
      <c r="E120" s="6" t="s">
        <v>123</v>
      </c>
      <c r="F120" s="6" t="s">
        <v>123</v>
      </c>
      <c r="G120" s="6" t="s">
        <v>123</v>
      </c>
      <c r="H120" s="6" t="s">
        <v>123</v>
      </c>
      <c r="I120" s="6" t="s">
        <v>123</v>
      </c>
      <c r="J120" s="6" t="s">
        <v>123</v>
      </c>
      <c r="K120" s="6" t="s">
        <v>123</v>
      </c>
      <c r="L120" s="6"/>
      <c r="M120" s="6"/>
      <c r="N120" s="6"/>
      <c r="O120" s="6"/>
    </row>
    <row r="121" spans="1:15">
      <c r="A121" s="6"/>
      <c r="B121" s="6"/>
      <c r="C121" s="6" t="s">
        <v>123</v>
      </c>
      <c r="D121" s="6" t="s">
        <v>123</v>
      </c>
      <c r="E121" s="6" t="s">
        <v>123</v>
      </c>
      <c r="F121" s="6" t="s">
        <v>123</v>
      </c>
      <c r="G121" s="6" t="s">
        <v>123</v>
      </c>
      <c r="H121" s="6" t="s">
        <v>123</v>
      </c>
      <c r="I121" s="6" t="s">
        <v>123</v>
      </c>
      <c r="J121" s="6" t="s">
        <v>123</v>
      </c>
      <c r="K121" s="6" t="s">
        <v>123</v>
      </c>
      <c r="L121" s="6"/>
      <c r="M121" s="6"/>
      <c r="N121" s="6"/>
      <c r="O121" s="6"/>
    </row>
    <row r="122" spans="1:15">
      <c r="A122" s="6"/>
      <c r="B122" s="6"/>
      <c r="C122" s="6" t="s">
        <v>123</v>
      </c>
      <c r="D122" s="6" t="s">
        <v>123</v>
      </c>
      <c r="E122" s="6" t="s">
        <v>123</v>
      </c>
      <c r="F122" s="6" t="s">
        <v>123</v>
      </c>
      <c r="G122" s="6" t="s">
        <v>123</v>
      </c>
      <c r="H122" s="6" t="s">
        <v>123</v>
      </c>
      <c r="I122" s="6" t="s">
        <v>123</v>
      </c>
      <c r="J122" s="6" t="s">
        <v>123</v>
      </c>
      <c r="K122" s="6" t="s">
        <v>123</v>
      </c>
      <c r="L122" s="6"/>
      <c r="M122" s="6"/>
      <c r="N122" s="6"/>
      <c r="O122" s="6"/>
    </row>
    <row r="123" spans="1:15">
      <c r="A123" s="6"/>
      <c r="B123" s="6"/>
      <c r="C123" s="6" t="s">
        <v>123</v>
      </c>
      <c r="D123" s="6" t="s">
        <v>123</v>
      </c>
      <c r="E123" s="6" t="s">
        <v>123</v>
      </c>
      <c r="F123" s="6" t="s">
        <v>123</v>
      </c>
      <c r="G123" s="6" t="s">
        <v>123</v>
      </c>
      <c r="H123" s="6" t="s">
        <v>123</v>
      </c>
      <c r="I123" s="6" t="s">
        <v>123</v>
      </c>
      <c r="J123" s="6" t="s">
        <v>123</v>
      </c>
      <c r="K123" s="6" t="s">
        <v>123</v>
      </c>
      <c r="L123" s="6"/>
      <c r="M123" s="6"/>
      <c r="N123" s="6"/>
      <c r="O123" s="6"/>
    </row>
    <row r="124" spans="1:15">
      <c r="A124" s="6"/>
      <c r="B124" s="6"/>
      <c r="C124" s="6" t="s">
        <v>123</v>
      </c>
      <c r="D124" s="6" t="s">
        <v>123</v>
      </c>
      <c r="E124" s="6" t="s">
        <v>123</v>
      </c>
      <c r="F124" s="6" t="s">
        <v>123</v>
      </c>
      <c r="G124" s="6" t="s">
        <v>123</v>
      </c>
      <c r="H124" s="6" t="s">
        <v>123</v>
      </c>
      <c r="I124" s="6" t="s">
        <v>123</v>
      </c>
      <c r="J124" s="6" t="s">
        <v>123</v>
      </c>
      <c r="K124" s="6" t="s">
        <v>123</v>
      </c>
      <c r="L124" s="6"/>
      <c r="M124" s="6"/>
      <c r="N124" s="6"/>
      <c r="O124" s="6"/>
    </row>
    <row r="125" spans="1:15">
      <c r="A125" s="6"/>
      <c r="B125" s="6"/>
      <c r="C125" s="6" t="s">
        <v>123</v>
      </c>
      <c r="D125" s="6" t="s">
        <v>123</v>
      </c>
      <c r="E125" s="6" t="s">
        <v>123</v>
      </c>
      <c r="F125" s="6" t="s">
        <v>123</v>
      </c>
      <c r="G125" s="6" t="s">
        <v>123</v>
      </c>
      <c r="H125" s="6" t="s">
        <v>123</v>
      </c>
      <c r="I125" s="6" t="s">
        <v>123</v>
      </c>
      <c r="J125" s="6" t="s">
        <v>123</v>
      </c>
      <c r="K125" s="6" t="s">
        <v>123</v>
      </c>
      <c r="L125" s="6"/>
      <c r="M125" s="6"/>
      <c r="N125" s="6"/>
      <c r="O125" s="6"/>
    </row>
    <row r="126" spans="1:15">
      <c r="A126" s="6"/>
      <c r="B126" s="6"/>
      <c r="C126" s="6" t="s">
        <v>123</v>
      </c>
      <c r="D126" s="6" t="s">
        <v>123</v>
      </c>
      <c r="E126" s="6" t="s">
        <v>123</v>
      </c>
      <c r="F126" s="6" t="s">
        <v>123</v>
      </c>
      <c r="G126" s="6" t="s">
        <v>123</v>
      </c>
      <c r="H126" s="6" t="s">
        <v>123</v>
      </c>
      <c r="I126" s="6" t="s">
        <v>123</v>
      </c>
      <c r="J126" s="6" t="s">
        <v>123</v>
      </c>
      <c r="K126" s="6" t="s">
        <v>123</v>
      </c>
      <c r="L126" s="6"/>
      <c r="M126" s="6"/>
      <c r="N126" s="6"/>
      <c r="O126" s="6"/>
    </row>
  </sheetData>
  <conditionalFormatting sqref="A2:P3 A13:P61 A4:B12 E4:P12">
    <cfRule type="expression" dxfId="6" priority="1">
      <formula>ISNUMBER(SEARCH("text",$B2))</formula>
    </cfRule>
    <cfRule type="expression" dxfId="5" priority="2">
      <formula>ISNUMBER(SEARCH("title",$B2))</formula>
    </cfRule>
    <cfRule type="expression" dxfId="4" priority="3">
      <formula>ISNUMBER(SEARCH("hero",$B2))</formula>
    </cfRule>
    <cfRule type="expression" dxfId="3" priority="4">
      <formula>ISNUMBER(SEARCH("card",$B2))</formula>
    </cfRule>
    <cfRule type="expression" dxfId="2" priority="5">
      <formula>ISNUMBER(SEARCH("carousel",$B2))</formula>
    </cfRule>
    <cfRule type="expression" dxfId="1" priority="6">
      <formula>ISNUMBER(SEARCH("video",$B2))</formula>
    </cfRule>
    <cfRule type="expression" dxfId="0" priority="7">
      <formula>ISNUMBER(SEARCH("image",$B2))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3863E0ED-DA6F-49DC-9C83-519FE4629E92}">
          <x14:formula1>
            <xm:f>_helper!$A$1:$A$15</xm:f>
          </x14:formula1>
          <xm:sqref>B2:B61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_helper</vt:lpstr>
      <vt:lpstr>Типы элементов</vt:lpstr>
      <vt:lpstr>РАБОЧАЯ СТРАНИЦА</vt:lpstr>
      <vt:lpstr>index</vt:lpstr>
      <vt:lpstr>skin</vt:lpstr>
      <vt:lpstr>pigment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Eugene</cp:lastModifiedBy>
  <dcterms:created xsi:type="dcterms:W3CDTF">2026-05-19T13:16:39Z</dcterms:created>
  <dcterms:modified xsi:type="dcterms:W3CDTF">2026-05-20T14:13:09Z</dcterms:modified>
</cp:coreProperties>
</file>